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or\Documents\ML Spectroscopy Code\Combined Spectroscopy Updated\"/>
    </mc:Choice>
  </mc:AlternateContent>
  <xr:revisionPtr revIDLastSave="0" documentId="13_ncr:1_{B51C2987-5049-40DA-B7D4-621B141B348F}" xr6:coauthVersionLast="47" xr6:coauthVersionMax="47" xr10:uidLastSave="{00000000-0000-0000-0000-000000000000}"/>
  <bookViews>
    <workbookView xWindow="3828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3" i="1" l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/>
  <c r="J39" i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J45" i="1" a="1"/>
  <c r="J45" i="1" s="1"/>
  <c r="J46" i="1" a="1"/>
  <c r="J46" i="1" s="1"/>
  <c r="J47" i="1" a="1"/>
  <c r="J47" i="1" s="1"/>
  <c r="J48" i="1" a="1"/>
  <c r="J48" i="1" s="1"/>
  <c r="J49" i="1" a="1"/>
  <c r="J49" i="1" s="1"/>
  <c r="J50" i="1" a="1"/>
  <c r="J50" i="1"/>
  <c r="J51" i="1" a="1"/>
  <c r="J51" i="1" s="1"/>
  <c r="J52" i="1" a="1"/>
  <c r="J52" i="1" s="1"/>
  <c r="J53" i="1" a="1"/>
  <c r="J53" i="1" s="1"/>
  <c r="J54" i="1" a="1"/>
  <c r="J54" i="1" s="1"/>
  <c r="J55" i="1" a="1"/>
  <c r="J55" i="1" s="1"/>
  <c r="J56" i="1" a="1"/>
  <c r="J56" i="1" s="1"/>
  <c r="J57" i="1" a="1"/>
  <c r="J57" i="1" s="1"/>
  <c r="J58" i="1" a="1"/>
  <c r="J58" i="1" s="1"/>
  <c r="J59" i="1" a="1"/>
  <c r="J59" i="1" s="1"/>
  <c r="J60" i="1" a="1"/>
  <c r="J60" i="1" s="1"/>
  <c r="J61" i="1" a="1"/>
  <c r="J61" i="1" s="1"/>
  <c r="J62" i="1" a="1"/>
  <c r="J62" i="1"/>
  <c r="J63" i="1" a="1"/>
  <c r="J63" i="1" s="1"/>
  <c r="J64" i="1" a="1"/>
  <c r="J64" i="1" s="1"/>
  <c r="J65" i="1" a="1"/>
  <c r="J65" i="1" s="1"/>
  <c r="J66" i="1" a="1"/>
  <c r="J66" i="1" s="1"/>
  <c r="J67" i="1" a="1"/>
  <c r="J67" i="1" s="1"/>
  <c r="J68" i="1" a="1"/>
  <c r="J68" i="1" s="1"/>
  <c r="J69" i="1" a="1"/>
  <c r="J69" i="1" s="1"/>
  <c r="J70" i="1" a="1"/>
  <c r="J70" i="1" s="1"/>
  <c r="J71" i="1" a="1"/>
  <c r="J71" i="1" s="1"/>
  <c r="J72" i="1" a="1"/>
  <c r="J72" i="1" s="1"/>
  <c r="J73" i="1" a="1"/>
  <c r="J73" i="1" s="1"/>
  <c r="J74" i="1" a="1"/>
  <c r="J74" i="1"/>
  <c r="J75" i="1" a="1"/>
  <c r="J75" i="1" s="1"/>
  <c r="J76" i="1" a="1"/>
  <c r="J76" i="1" s="1"/>
  <c r="J77" i="1" a="1"/>
  <c r="J77" i="1" s="1"/>
  <c r="J78" i="1" a="1"/>
  <c r="J78" i="1" s="1"/>
  <c r="J79" i="1" a="1"/>
  <c r="J79" i="1" s="1"/>
  <c r="J80" i="1" a="1"/>
  <c r="J80" i="1" s="1"/>
  <c r="J81" i="1" a="1"/>
  <c r="J81" i="1" s="1"/>
  <c r="J82" i="1" a="1"/>
  <c r="J82" i="1" s="1"/>
  <c r="J83" i="1" a="1"/>
  <c r="J83" i="1" s="1"/>
  <c r="J84" i="1" a="1"/>
  <c r="J84" i="1" s="1"/>
  <c r="J85" i="1" a="1"/>
  <c r="J85" i="1" s="1"/>
  <c r="J86" i="1" a="1"/>
  <c r="J86" i="1"/>
  <c r="J87" i="1" a="1"/>
  <c r="J87" i="1" s="1"/>
  <c r="J88" i="1" a="1"/>
  <c r="J88" i="1" s="1"/>
  <c r="J89" i="1" a="1"/>
  <c r="J89" i="1" s="1"/>
  <c r="J90" i="1" a="1"/>
  <c r="J90" i="1" s="1"/>
  <c r="J91" i="1" a="1"/>
  <c r="J91" i="1" s="1"/>
  <c r="J92" i="1" a="1"/>
  <c r="J92" i="1" s="1"/>
  <c r="J93" i="1" a="1"/>
  <c r="J93" i="1" s="1"/>
  <c r="J94" i="1" a="1"/>
  <c r="J94" i="1" s="1"/>
  <c r="J95" i="1" a="1"/>
  <c r="J95" i="1" s="1"/>
  <c r="J96" i="1" a="1"/>
  <c r="J96" i="1" s="1"/>
  <c r="J97" i="1" a="1"/>
  <c r="J97" i="1" s="1"/>
  <c r="J98" i="1" a="1"/>
  <c r="J98" i="1"/>
  <c r="J99" i="1" a="1"/>
  <c r="J99" i="1" s="1"/>
  <c r="J100" i="1" a="1"/>
  <c r="J100" i="1" s="1"/>
  <c r="J101" i="1" a="1"/>
  <c r="J101" i="1" s="1"/>
  <c r="J102" i="1" a="1"/>
  <c r="J102" i="1" s="1"/>
  <c r="J103" i="1" a="1"/>
  <c r="J103" i="1" s="1"/>
  <c r="J104" i="1" a="1"/>
  <c r="J104" i="1" s="1"/>
  <c r="J105" i="1" a="1"/>
  <c r="J105" i="1" s="1"/>
  <c r="J106" i="1" a="1"/>
  <c r="J106" i="1" s="1"/>
  <c r="J107" i="1" a="1"/>
  <c r="J107" i="1" s="1"/>
  <c r="J108" i="1" a="1"/>
  <c r="J108" i="1" s="1"/>
  <c r="J109" i="1" a="1"/>
  <c r="J109" i="1" s="1"/>
  <c r="J110" i="1" a="1"/>
  <c r="J110" i="1"/>
  <c r="J111" i="1" a="1"/>
  <c r="J111" i="1" s="1"/>
  <c r="J112" i="1" a="1"/>
  <c r="J112" i="1" s="1"/>
  <c r="J113" i="1" a="1"/>
  <c r="J113" i="1" s="1"/>
  <c r="J114" i="1" a="1"/>
  <c r="J114" i="1" s="1"/>
  <c r="J115" i="1" a="1"/>
  <c r="J115" i="1" s="1"/>
  <c r="J116" i="1" a="1"/>
  <c r="J116" i="1" s="1"/>
  <c r="J117" i="1" a="1"/>
  <c r="J117" i="1" s="1"/>
  <c r="J118" i="1" a="1"/>
  <c r="J118" i="1" s="1"/>
  <c r="J119" i="1" a="1"/>
  <c r="J119" i="1" s="1"/>
  <c r="J120" i="1" a="1"/>
  <c r="J120" i="1" s="1"/>
  <c r="J121" i="1" a="1"/>
  <c r="J121" i="1" s="1"/>
  <c r="J122" i="1" a="1"/>
  <c r="J122" i="1"/>
  <c r="J123" i="1" a="1"/>
  <c r="J123" i="1" s="1"/>
  <c r="J124" i="1" a="1"/>
  <c r="J124" i="1" s="1"/>
  <c r="J125" i="1" a="1"/>
  <c r="J125" i="1" s="1"/>
  <c r="J126" i="1" a="1"/>
  <c r="J126" i="1" s="1"/>
  <c r="J127" i="1" a="1"/>
  <c r="J127" i="1" s="1"/>
  <c r="J128" i="1" a="1"/>
  <c r="J128" i="1" s="1"/>
  <c r="J129" i="1" a="1"/>
  <c r="J129" i="1" s="1"/>
  <c r="J130" i="1" a="1"/>
  <c r="J130" i="1" s="1"/>
  <c r="J131" i="1" a="1"/>
  <c r="J131" i="1" s="1"/>
  <c r="J132" i="1" a="1"/>
  <c r="J132" i="1" s="1"/>
  <c r="J133" i="1" a="1"/>
  <c r="J133" i="1" s="1"/>
  <c r="J134" i="1" a="1"/>
  <c r="J134" i="1"/>
  <c r="J135" i="1" a="1"/>
  <c r="J135" i="1" s="1"/>
  <c r="J136" i="1" a="1"/>
  <c r="J136" i="1" s="1"/>
  <c r="J137" i="1" a="1"/>
  <c r="J137" i="1" s="1"/>
  <c r="J138" i="1" a="1"/>
  <c r="J138" i="1" s="1"/>
  <c r="J139" i="1" a="1"/>
  <c r="J139" i="1" s="1"/>
  <c r="J140" i="1" a="1"/>
  <c r="J140" i="1" s="1"/>
  <c r="J141" i="1" a="1"/>
  <c r="J141" i="1" s="1"/>
  <c r="J142" i="1" a="1"/>
  <c r="J142" i="1" s="1"/>
  <c r="J143" i="1" a="1"/>
  <c r="J143" i="1" s="1"/>
  <c r="J144" i="1" a="1"/>
  <c r="J144" i="1" s="1"/>
  <c r="J145" i="1" a="1"/>
  <c r="J145" i="1" s="1"/>
  <c r="J146" i="1" a="1"/>
  <c r="J146" i="1"/>
  <c r="J147" i="1" a="1"/>
  <c r="J147" i="1" s="1"/>
  <c r="J148" i="1" a="1"/>
  <c r="J148" i="1" s="1"/>
  <c r="J149" i="1" a="1"/>
  <c r="J149" i="1" s="1"/>
  <c r="J150" i="1" a="1"/>
  <c r="J150" i="1" s="1"/>
  <c r="J151" i="1" a="1"/>
  <c r="J151" i="1" s="1"/>
  <c r="J152" i="1" a="1"/>
  <c r="J152" i="1" s="1"/>
  <c r="J153" i="1" a="1"/>
  <c r="J153" i="1" s="1"/>
  <c r="J154" i="1" a="1"/>
  <c r="J154" i="1" s="1"/>
  <c r="J155" i="1" a="1"/>
  <c r="J155" i="1" s="1"/>
  <c r="J156" i="1" a="1"/>
  <c r="J156" i="1" s="1"/>
  <c r="J157" i="1" a="1"/>
  <c r="J157" i="1" s="1"/>
  <c r="J158" i="1" a="1"/>
  <c r="J158" i="1"/>
  <c r="J159" i="1" a="1"/>
  <c r="J159" i="1" s="1"/>
  <c r="J160" i="1" a="1"/>
  <c r="J160" i="1" s="1"/>
  <c r="J161" i="1" a="1"/>
  <c r="J161" i="1" s="1"/>
  <c r="J162" i="1" a="1"/>
  <c r="J162" i="1" s="1"/>
  <c r="J163" i="1" a="1"/>
  <c r="J163" i="1" s="1"/>
  <c r="J164" i="1" a="1"/>
  <c r="J164" i="1" s="1"/>
  <c r="J165" i="1" a="1"/>
  <c r="J165" i="1" s="1"/>
  <c r="J166" i="1" a="1"/>
  <c r="J166" i="1" s="1"/>
  <c r="J167" i="1" a="1"/>
  <c r="J167" i="1" s="1"/>
  <c r="J168" i="1" a="1"/>
  <c r="J168" i="1" s="1"/>
  <c r="J169" i="1" a="1"/>
  <c r="J169" i="1" s="1"/>
  <c r="J170" i="1" a="1"/>
  <c r="J170" i="1"/>
  <c r="J171" i="1" a="1"/>
  <c r="J171" i="1" s="1"/>
  <c r="J172" i="1" a="1"/>
  <c r="J172" i="1" s="1"/>
  <c r="J173" i="1" a="1"/>
  <c r="J173" i="1" s="1"/>
  <c r="J174" i="1" a="1"/>
  <c r="J174" i="1" s="1"/>
  <c r="J175" i="1" a="1"/>
  <c r="J175" i="1" s="1"/>
  <c r="J176" i="1" a="1"/>
  <c r="J176" i="1" s="1"/>
  <c r="J177" i="1" a="1"/>
  <c r="J177" i="1" s="1"/>
  <c r="J178" i="1" a="1"/>
  <c r="J178" i="1" s="1"/>
  <c r="J179" i="1" a="1"/>
  <c r="J179" i="1" s="1"/>
  <c r="J180" i="1" a="1"/>
  <c r="J180" i="1" s="1"/>
  <c r="J181" i="1" a="1"/>
  <c r="J181" i="1" s="1"/>
  <c r="J182" i="1" a="1"/>
  <c r="J182" i="1"/>
  <c r="J183" i="1" a="1"/>
  <c r="J183" i="1" s="1"/>
  <c r="J184" i="1" a="1"/>
  <c r="J184" i="1" s="1"/>
  <c r="J185" i="1" a="1"/>
  <c r="J185" i="1" s="1"/>
  <c r="J186" i="1" a="1"/>
  <c r="J186" i="1" s="1"/>
  <c r="J187" i="1" a="1"/>
  <c r="J187" i="1" s="1"/>
  <c r="J188" i="1" a="1"/>
  <c r="J188" i="1" s="1"/>
  <c r="J189" i="1" a="1"/>
  <c r="J189" i="1" s="1"/>
  <c r="J190" i="1" a="1"/>
  <c r="J190" i="1" s="1"/>
  <c r="J191" i="1" a="1"/>
  <c r="J191" i="1" s="1"/>
  <c r="J192" i="1" a="1"/>
  <c r="J192" i="1" s="1"/>
  <c r="J193" i="1" a="1"/>
  <c r="J193" i="1" s="1"/>
  <c r="J194" i="1" a="1"/>
  <c r="J194" i="1"/>
  <c r="J195" i="1" a="1"/>
  <c r="J195" i="1" s="1"/>
  <c r="J196" i="1" a="1"/>
  <c r="J196" i="1" s="1"/>
  <c r="J197" i="1" a="1"/>
  <c r="J197" i="1" s="1"/>
  <c r="J198" i="1" a="1"/>
  <c r="J198" i="1" s="1"/>
  <c r="J199" i="1" a="1"/>
  <c r="J199" i="1" s="1"/>
  <c r="J200" i="1" a="1"/>
  <c r="J200" i="1" s="1"/>
  <c r="J201" i="1" a="1"/>
  <c r="J201" i="1" s="1"/>
  <c r="J202" i="1" a="1"/>
  <c r="J202" i="1" s="1"/>
  <c r="J203" i="1" a="1"/>
  <c r="J203" i="1" s="1"/>
  <c r="J204" i="1" a="1"/>
  <c r="J204" i="1" s="1"/>
  <c r="J205" i="1" a="1"/>
  <c r="J205" i="1" s="1"/>
  <c r="J206" i="1" a="1"/>
  <c r="J206" i="1"/>
  <c r="J207" i="1" a="1"/>
  <c r="J207" i="1" s="1"/>
  <c r="J208" i="1" a="1"/>
  <c r="J208" i="1" s="1"/>
  <c r="J209" i="1" a="1"/>
  <c r="J209" i="1" s="1"/>
  <c r="J210" i="1" a="1"/>
  <c r="J210" i="1" s="1"/>
  <c r="J211" i="1" a="1"/>
  <c r="J211" i="1" s="1"/>
  <c r="J212" i="1" a="1"/>
  <c r="J212" i="1" s="1"/>
  <c r="J213" i="1" a="1"/>
  <c r="J213" i="1" s="1"/>
  <c r="J214" i="1" a="1"/>
  <c r="J214" i="1" s="1"/>
  <c r="J215" i="1" a="1"/>
  <c r="J215" i="1" s="1"/>
  <c r="J216" i="1" a="1"/>
  <c r="J216" i="1" s="1"/>
  <c r="J217" i="1" a="1"/>
  <c r="J217" i="1" s="1"/>
  <c r="J218" i="1" a="1"/>
  <c r="J218" i="1"/>
  <c r="J219" i="1" a="1"/>
  <c r="J219" i="1" s="1"/>
  <c r="J2" i="1" a="1"/>
  <c r="J2" i="1" s="1"/>
  <c r="K6" i="1"/>
  <c r="K4" i="1"/>
  <c r="K3" i="1"/>
  <c r="K2" i="1"/>
  <c r="K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<sst xmlns="http://schemas.openxmlformats.org/spreadsheetml/2006/main" count="283" uniqueCount="21">
  <si>
    <t>OD Number</t>
  </si>
  <si>
    <t>Plasma (y/n)</t>
  </si>
  <si>
    <t>Saliva (y/n)</t>
  </si>
  <si>
    <t>Age</t>
  </si>
  <si>
    <t>Gender</t>
  </si>
  <si>
    <t>Race/Ethnicity</t>
  </si>
  <si>
    <t>BMI</t>
  </si>
  <si>
    <t>Staging</t>
  </si>
  <si>
    <t>Label</t>
  </si>
  <si>
    <t>y</t>
  </si>
  <si>
    <t>Male</t>
  </si>
  <si>
    <t>White</t>
  </si>
  <si>
    <t>Black or African American</t>
  </si>
  <si>
    <t>Hispanic or Latino</t>
  </si>
  <si>
    <t>Asian</t>
  </si>
  <si>
    <t>Female</t>
  </si>
  <si>
    <t>Unknown</t>
  </si>
  <si>
    <t>Native Hawaiian or Other Pacific Islander</t>
  </si>
  <si>
    <t>Other</t>
  </si>
  <si>
    <t>Not Reported</t>
  </si>
  <si>
    <t>G_stage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</si>
</sst>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  <family val="2"/>
      <charset val="1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9"/>
  <sheetViews>
    <sheetView tabSelected="1" zoomScale="75" zoomScaleNormal="75" workbookViewId="0">
      <selection activeCell="K24" sqref="K24"/>
    </sheetView>
  </sheetViews>
  <sheetFormatPr defaultColWidth="11" defaultRowHeight="18" x14ac:dyDescent="0.35"/>
  <cols>
    <col min="1" max="1" width="14.796875" style="2" customWidth="1"/>
    <col min="2" max="2" width="12.5" style="2" customWidth="1"/>
    <col min="3" max="3" width="12" style="2" customWidth="1"/>
    <col min="4" max="5" width="11" style="2"/>
    <col min="6" max="6" width="27.796875" style="2" customWidth="1"/>
    <col min="7" max="7" width="11" style="2"/>
    <col min="8" max="8" width="18.5" style="2" customWidth="1"/>
    <col min="9" max="14" width="11" style="2"/>
    <col min="15" max="15" width="11" style="3"/>
    <col min="16" max="16384" width="11" style="2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20</v>
      </c>
    </row>
    <row r="2" spans="1:19" x14ac:dyDescent="0.35">
      <c r="A2" s="2">
        <v>272</v>
      </c>
      <c r="B2" s="2" t="s">
        <v>9</v>
      </c>
      <c r="C2" s="2" t="s">
        <v>9</v>
      </c>
      <c r="D2" s="2">
        <v>73</v>
      </c>
      <c r="E2" s="2" t="s">
        <v>10</v>
      </c>
      <c r="F2" s="2" t="s">
        <v>11</v>
      </c>
      <c r="G2" s="2">
        <v>27.1</v>
      </c>
      <c r="H2" s="2">
        <v>4</v>
      </c>
      <c r="I2" s="2">
        <v>1</v>
      </c>
      <c r="J2" s="2" cm="1">
        <f t="array" ref="J2">_xlfn.IFS(H2=0,0,H2=1,1,H2=2,1,H2=3,2,H2=4,2)</f>
        <v>2</v>
      </c>
      <c r="K2" s="2">
        <f>COUNTIF(H2:H102,0)</f>
        <v>35</v>
      </c>
      <c r="O2" s="4"/>
      <c r="S2" s="4"/>
    </row>
    <row r="3" spans="1:19" x14ac:dyDescent="0.35">
      <c r="A3" s="2">
        <v>275</v>
      </c>
      <c r="B3" s="2" t="s">
        <v>9</v>
      </c>
      <c r="C3" s="2" t="s">
        <v>9</v>
      </c>
      <c r="D3" s="2">
        <v>86</v>
      </c>
      <c r="E3" s="2" t="s">
        <v>10</v>
      </c>
      <c r="F3" s="2" t="s">
        <v>11</v>
      </c>
      <c r="G3" s="2">
        <v>25.58</v>
      </c>
      <c r="H3" s="2">
        <v>4</v>
      </c>
      <c r="I3" s="2">
        <v>1</v>
      </c>
      <c r="J3" s="2" cm="1">
        <f t="array" ref="J3">_xlfn.IFS(H3=0,0,H3=1,1,H3=2,1,H3=3,2,H3=4,2)</f>
        <v>2</v>
      </c>
      <c r="K3" s="2">
        <f>COUNTIF(H2:H102,1)</f>
        <v>17</v>
      </c>
      <c r="O3" s="4"/>
      <c r="S3" s="4"/>
    </row>
    <row r="4" spans="1:19" x14ac:dyDescent="0.35">
      <c r="A4" s="2">
        <v>276</v>
      </c>
      <c r="B4" s="2" t="s">
        <v>9</v>
      </c>
      <c r="C4" s="2" t="s">
        <v>9</v>
      </c>
      <c r="D4" s="2">
        <v>63</v>
      </c>
      <c r="E4" s="2" t="s">
        <v>10</v>
      </c>
      <c r="F4" s="2" t="s">
        <v>11</v>
      </c>
      <c r="G4" s="2">
        <v>32.31</v>
      </c>
      <c r="H4" s="2">
        <v>2</v>
      </c>
      <c r="I4" s="2">
        <v>1</v>
      </c>
      <c r="J4" s="2" cm="1">
        <f t="array" ref="J4">_xlfn.IFS(H4=0,0,H4=1,1,H4=2,1,H4=3,2,H4=4,2)</f>
        <v>1</v>
      </c>
      <c r="K4" s="2">
        <f>COUNTIF(H2:H102,2)</f>
        <v>12</v>
      </c>
      <c r="O4" s="4"/>
      <c r="S4" s="4"/>
    </row>
    <row r="5" spans="1:19" x14ac:dyDescent="0.35">
      <c r="A5" s="2">
        <v>277</v>
      </c>
      <c r="B5" s="2" t="s">
        <v>9</v>
      </c>
      <c r="C5" s="2" t="s">
        <v>9</v>
      </c>
      <c r="D5" s="2">
        <v>30</v>
      </c>
      <c r="E5" s="2" t="s">
        <v>10</v>
      </c>
      <c r="F5" s="2" t="s">
        <v>11</v>
      </c>
      <c r="G5" s="2">
        <v>26.38</v>
      </c>
      <c r="H5" s="5">
        <v>0</v>
      </c>
      <c r="I5" s="2">
        <v>0</v>
      </c>
      <c r="J5" s="2" cm="1">
        <f t="array" ref="J5">_xlfn.IFS(H5=0,0,H5=1,1,H5=2,1,H5=3,2,H5=4,2)</f>
        <v>0</v>
      </c>
      <c r="K5" s="2">
        <f>COUNTIF(H2:H102,3)</f>
        <v>7</v>
      </c>
      <c r="O5" s="4"/>
      <c r="S5" s="4"/>
    </row>
    <row r="6" spans="1:19" x14ac:dyDescent="0.35">
      <c r="A6" s="2">
        <v>278</v>
      </c>
      <c r="B6" s="2" t="s">
        <v>9</v>
      </c>
      <c r="C6" s="2" t="s">
        <v>9</v>
      </c>
      <c r="D6" s="2">
        <v>27</v>
      </c>
      <c r="E6" s="2" t="s">
        <v>10</v>
      </c>
      <c r="F6" s="2" t="s">
        <v>11</v>
      </c>
      <c r="G6" s="2">
        <v>20.14</v>
      </c>
      <c r="H6" s="5">
        <v>0</v>
      </c>
      <c r="I6" s="2">
        <v>0</v>
      </c>
      <c r="J6" s="2" cm="1">
        <f t="array" ref="J6">_xlfn.IFS(H6=0,0,H6=1,1,H6=2,1,H6=3,2,H6=4,2)</f>
        <v>0</v>
      </c>
      <c r="K6" s="2">
        <f>COUNTIF(H2:H102,4)</f>
        <v>30</v>
      </c>
      <c r="O6" s="4"/>
      <c r="S6" s="4"/>
    </row>
    <row r="7" spans="1:19" x14ac:dyDescent="0.35">
      <c r="A7" s="2">
        <v>279</v>
      </c>
      <c r="B7" s="2" t="s">
        <v>9</v>
      </c>
      <c r="C7" s="2" t="s">
        <v>9</v>
      </c>
      <c r="D7" s="2">
        <v>29</v>
      </c>
      <c r="E7" s="2" t="s">
        <v>10</v>
      </c>
      <c r="F7" s="2" t="s">
        <v>11</v>
      </c>
      <c r="G7" s="2">
        <v>31.51</v>
      </c>
      <c r="H7" s="5">
        <v>2</v>
      </c>
      <c r="I7" s="2">
        <v>1</v>
      </c>
      <c r="J7" s="2" cm="1">
        <f t="array" ref="J7">_xlfn.IFS(H7=0,0,H7=1,1,H7=2,1,H7=3,2,H7=4,2)</f>
        <v>1</v>
      </c>
      <c r="O7" s="4"/>
      <c r="S7" s="4"/>
    </row>
    <row r="8" spans="1:19" x14ac:dyDescent="0.35">
      <c r="A8" s="2">
        <v>280</v>
      </c>
      <c r="B8" s="2" t="s">
        <v>9</v>
      </c>
      <c r="C8" s="2" t="s">
        <v>9</v>
      </c>
      <c r="D8" s="2">
        <v>66</v>
      </c>
      <c r="E8" s="2" t="s">
        <v>10</v>
      </c>
      <c r="F8" s="2" t="s">
        <v>12</v>
      </c>
      <c r="G8" s="2">
        <v>21.34</v>
      </c>
      <c r="H8" s="5">
        <v>2</v>
      </c>
      <c r="I8" s="2">
        <v>1</v>
      </c>
      <c r="J8" s="2" cm="1">
        <f t="array" ref="J8">_xlfn.IFS(H8=0,0,H8=1,1,H8=2,1,H8=3,2,H8=4,2)</f>
        <v>1</v>
      </c>
      <c r="O8" s="4"/>
      <c r="S8" s="4"/>
    </row>
    <row r="9" spans="1:19" x14ac:dyDescent="0.35">
      <c r="A9" s="2">
        <v>281</v>
      </c>
      <c r="B9" s="2" t="s">
        <v>9</v>
      </c>
      <c r="C9" s="2" t="s">
        <v>9</v>
      </c>
      <c r="D9" s="2">
        <v>43</v>
      </c>
      <c r="E9" s="2" t="s">
        <v>10</v>
      </c>
      <c r="F9" s="2" t="s">
        <v>13</v>
      </c>
      <c r="G9" s="2">
        <v>30.41</v>
      </c>
      <c r="H9" s="5">
        <v>0</v>
      </c>
      <c r="I9" s="2">
        <v>0</v>
      </c>
      <c r="J9" s="2" cm="1">
        <f t="array" ref="J9">_xlfn.IFS(H9=0,0,H9=1,1,H9=2,1,H9=3,2,H9=4,2)</f>
        <v>0</v>
      </c>
      <c r="O9" s="4"/>
      <c r="S9" s="4"/>
    </row>
    <row r="10" spans="1:19" x14ac:dyDescent="0.35">
      <c r="A10" s="2">
        <v>284</v>
      </c>
      <c r="B10" s="2" t="s">
        <v>9</v>
      </c>
      <c r="C10" s="2" t="s">
        <v>9</v>
      </c>
      <c r="D10" s="2">
        <v>53</v>
      </c>
      <c r="E10" s="2" t="s">
        <v>10</v>
      </c>
      <c r="F10" s="2" t="s">
        <v>14</v>
      </c>
      <c r="G10" s="2">
        <v>23.74</v>
      </c>
      <c r="H10" s="5">
        <v>4</v>
      </c>
      <c r="I10" s="2">
        <v>1</v>
      </c>
      <c r="J10" s="2" cm="1">
        <f t="array" ref="J10">_xlfn.IFS(H10=0,0,H10=1,1,H10=2,1,H10=3,2,H10=4,2)</f>
        <v>2</v>
      </c>
      <c r="O10" s="4"/>
      <c r="S10" s="4"/>
    </row>
    <row r="11" spans="1:19" x14ac:dyDescent="0.35">
      <c r="A11" s="2">
        <v>286</v>
      </c>
      <c r="B11" s="2" t="s">
        <v>9</v>
      </c>
      <c r="C11" s="2" t="s">
        <v>9</v>
      </c>
      <c r="D11" s="2">
        <v>63</v>
      </c>
      <c r="E11" s="2" t="s">
        <v>10</v>
      </c>
      <c r="F11" s="2" t="s">
        <v>11</v>
      </c>
      <c r="G11" s="2">
        <v>23.59</v>
      </c>
      <c r="H11" s="5">
        <v>0</v>
      </c>
      <c r="I11" s="2">
        <v>0</v>
      </c>
      <c r="J11" s="2" cm="1">
        <f t="array" ref="J11">_xlfn.IFS(H11=0,0,H11=1,1,H11=2,1,H11=3,2,H11=4,2)</f>
        <v>0</v>
      </c>
      <c r="O11" s="4"/>
      <c r="S11" s="4"/>
    </row>
    <row r="12" spans="1:19" x14ac:dyDescent="0.35">
      <c r="A12" s="2">
        <v>287</v>
      </c>
      <c r="B12" s="2" t="s">
        <v>9</v>
      </c>
      <c r="C12" s="2" t="s">
        <v>9</v>
      </c>
      <c r="D12" s="2">
        <v>72</v>
      </c>
      <c r="E12" s="2" t="s">
        <v>10</v>
      </c>
      <c r="F12" s="2" t="s">
        <v>11</v>
      </c>
      <c r="G12" s="2">
        <v>26.5</v>
      </c>
      <c r="H12" s="5">
        <v>3</v>
      </c>
      <c r="I12" s="2">
        <v>1</v>
      </c>
      <c r="J12" s="2" cm="1">
        <f t="array" ref="J12">_xlfn.IFS(H12=0,0,H12=1,1,H12=2,1,H12=3,2,H12=4,2)</f>
        <v>2</v>
      </c>
      <c r="O12" s="4"/>
      <c r="S12" s="4"/>
    </row>
    <row r="13" spans="1:19" x14ac:dyDescent="0.35">
      <c r="A13" s="2">
        <v>288</v>
      </c>
      <c r="B13" s="2" t="s">
        <v>9</v>
      </c>
      <c r="C13" s="2" t="s">
        <v>9</v>
      </c>
      <c r="D13" s="2">
        <v>31</v>
      </c>
      <c r="E13" s="2" t="s">
        <v>15</v>
      </c>
      <c r="F13" s="2" t="s">
        <v>11</v>
      </c>
      <c r="G13" s="2" t="s">
        <v>16</v>
      </c>
      <c r="H13" s="5">
        <v>0</v>
      </c>
      <c r="I13" s="2">
        <v>0</v>
      </c>
      <c r="J13" s="2" cm="1">
        <f t="array" ref="J13">_xlfn.IFS(H13=0,0,H13=1,1,H13=2,1,H13=3,2,H13=4,2)</f>
        <v>0</v>
      </c>
      <c r="O13" s="4"/>
      <c r="S13" s="4"/>
    </row>
    <row r="14" spans="1:19" x14ac:dyDescent="0.35">
      <c r="A14" s="2">
        <v>289</v>
      </c>
      <c r="B14" s="2" t="s">
        <v>9</v>
      </c>
      <c r="C14" s="2" t="s">
        <v>9</v>
      </c>
      <c r="D14" s="2">
        <v>74</v>
      </c>
      <c r="E14" s="2" t="s">
        <v>15</v>
      </c>
      <c r="F14" s="2" t="s">
        <v>11</v>
      </c>
      <c r="G14" s="2">
        <v>28</v>
      </c>
      <c r="H14" s="5">
        <v>1</v>
      </c>
      <c r="I14" s="2">
        <v>1</v>
      </c>
      <c r="J14" s="2" cm="1">
        <f t="array" ref="J14">_xlfn.IFS(H14=0,0,H14=1,1,H14=2,1,H14=3,2,H14=4,2)</f>
        <v>1</v>
      </c>
      <c r="O14" s="4"/>
      <c r="S14" s="4"/>
    </row>
    <row r="15" spans="1:19" x14ac:dyDescent="0.35">
      <c r="A15" s="2">
        <v>291</v>
      </c>
      <c r="B15" s="2" t="s">
        <v>9</v>
      </c>
      <c r="C15" s="2" t="s">
        <v>9</v>
      </c>
      <c r="D15" s="2">
        <v>72</v>
      </c>
      <c r="E15" s="2" t="s">
        <v>10</v>
      </c>
      <c r="F15" s="2" t="s">
        <v>11</v>
      </c>
      <c r="G15" s="2">
        <v>31.16</v>
      </c>
      <c r="H15" s="5">
        <v>0</v>
      </c>
      <c r="I15" s="2">
        <v>0</v>
      </c>
      <c r="J15" s="2" cm="1">
        <f t="array" ref="J15">_xlfn.IFS(H15=0,0,H15=1,1,H15=2,1,H15=3,2,H15=4,2)</f>
        <v>0</v>
      </c>
      <c r="O15" s="4"/>
      <c r="S15" s="4"/>
    </row>
    <row r="16" spans="1:19" x14ac:dyDescent="0.35">
      <c r="A16" s="2">
        <v>292</v>
      </c>
      <c r="B16" s="2" t="s">
        <v>9</v>
      </c>
      <c r="C16" s="2" t="s">
        <v>9</v>
      </c>
      <c r="D16" s="2">
        <v>51</v>
      </c>
      <c r="E16" s="2" t="s">
        <v>10</v>
      </c>
      <c r="F16" s="2" t="s">
        <v>11</v>
      </c>
      <c r="G16" s="2">
        <v>20.100000000000001</v>
      </c>
      <c r="H16" s="5">
        <v>4</v>
      </c>
      <c r="I16" s="2">
        <v>1</v>
      </c>
      <c r="J16" s="2" cm="1">
        <f t="array" ref="J16">_xlfn.IFS(H16=0,0,H16=1,1,H16=2,1,H16=3,2,H16=4,2)</f>
        <v>2</v>
      </c>
      <c r="O16" s="4"/>
      <c r="S16" s="4"/>
    </row>
    <row r="17" spans="1:19" x14ac:dyDescent="0.35">
      <c r="A17" s="2">
        <v>293</v>
      </c>
      <c r="B17" s="2" t="s">
        <v>9</v>
      </c>
      <c r="C17" s="2" t="s">
        <v>9</v>
      </c>
      <c r="D17" s="2">
        <v>50</v>
      </c>
      <c r="E17" s="2" t="s">
        <v>10</v>
      </c>
      <c r="F17" s="2" t="s">
        <v>11</v>
      </c>
      <c r="G17" s="2">
        <v>33.4</v>
      </c>
      <c r="H17" s="5">
        <v>0</v>
      </c>
      <c r="I17" s="2">
        <v>0</v>
      </c>
      <c r="J17" s="2" cm="1">
        <f t="array" ref="J17">_xlfn.IFS(H17=0,0,H17=1,1,H17=2,1,H17=3,2,H17=4,2)</f>
        <v>0</v>
      </c>
      <c r="O17" s="4"/>
      <c r="S17" s="4"/>
    </row>
    <row r="18" spans="1:19" x14ac:dyDescent="0.35">
      <c r="A18" s="2">
        <v>294</v>
      </c>
      <c r="B18" s="2" t="s">
        <v>9</v>
      </c>
      <c r="C18" s="2" t="s">
        <v>9</v>
      </c>
      <c r="D18" s="2">
        <v>44</v>
      </c>
      <c r="E18" s="2" t="s">
        <v>15</v>
      </c>
      <c r="F18" s="2" t="s">
        <v>17</v>
      </c>
      <c r="G18" s="2">
        <v>35.299999999999997</v>
      </c>
      <c r="H18" s="5">
        <v>0</v>
      </c>
      <c r="I18" s="2">
        <v>0</v>
      </c>
      <c r="J18" s="2" cm="1">
        <f t="array" ref="J18">_xlfn.IFS(H18=0,0,H18=1,1,H18=2,1,H18=3,2,H18=4,2)</f>
        <v>0</v>
      </c>
      <c r="O18" s="4"/>
      <c r="S18" s="4"/>
    </row>
    <row r="19" spans="1:19" x14ac:dyDescent="0.35">
      <c r="A19" s="2">
        <v>295</v>
      </c>
      <c r="B19" s="2" t="s">
        <v>9</v>
      </c>
      <c r="C19" s="2" t="s">
        <v>9</v>
      </c>
      <c r="D19" s="2">
        <v>71</v>
      </c>
      <c r="E19" s="2" t="s">
        <v>15</v>
      </c>
      <c r="F19" s="2" t="s">
        <v>11</v>
      </c>
      <c r="G19" s="2">
        <v>25.8</v>
      </c>
      <c r="H19" s="5">
        <v>1</v>
      </c>
      <c r="I19" s="2">
        <v>1</v>
      </c>
      <c r="J19" s="2" cm="1">
        <f t="array" ref="J19">_xlfn.IFS(H19=0,0,H19=1,1,H19=2,1,H19=3,2,H19=4,2)</f>
        <v>1</v>
      </c>
      <c r="O19" s="4"/>
      <c r="S19" s="4"/>
    </row>
    <row r="20" spans="1:19" x14ac:dyDescent="0.35">
      <c r="A20" s="2">
        <v>296</v>
      </c>
      <c r="B20" s="2" t="s">
        <v>9</v>
      </c>
      <c r="C20" s="2" t="s">
        <v>9</v>
      </c>
      <c r="D20" s="2">
        <v>66</v>
      </c>
      <c r="E20" s="2" t="s">
        <v>10</v>
      </c>
      <c r="F20" s="2" t="s">
        <v>11</v>
      </c>
      <c r="G20" s="2">
        <v>30.4</v>
      </c>
      <c r="H20" s="5">
        <v>4</v>
      </c>
      <c r="I20" s="2">
        <v>1</v>
      </c>
      <c r="J20" s="2" cm="1">
        <f t="array" ref="J20">_xlfn.IFS(H20=0,0,H20=1,1,H20=2,1,H20=3,2,H20=4,2)</f>
        <v>2</v>
      </c>
      <c r="O20" s="4"/>
      <c r="S20" s="4"/>
    </row>
    <row r="21" spans="1:19" x14ac:dyDescent="0.35">
      <c r="A21" s="2">
        <v>297</v>
      </c>
      <c r="B21" s="2" t="s">
        <v>9</v>
      </c>
      <c r="C21" s="2" t="s">
        <v>9</v>
      </c>
      <c r="D21" s="2">
        <v>77</v>
      </c>
      <c r="E21" s="2" t="s">
        <v>10</v>
      </c>
      <c r="F21" s="2" t="s">
        <v>11</v>
      </c>
      <c r="G21" s="2">
        <v>18.8</v>
      </c>
      <c r="H21" s="5">
        <v>2</v>
      </c>
      <c r="I21" s="2">
        <v>1</v>
      </c>
      <c r="J21" s="2" cm="1">
        <f t="array" ref="J21">_xlfn.IFS(H21=0,0,H21=1,1,H21=2,1,H21=3,2,H21=4,2)</f>
        <v>1</v>
      </c>
      <c r="O21" s="4"/>
      <c r="S21" s="4"/>
    </row>
    <row r="22" spans="1:19" x14ac:dyDescent="0.35">
      <c r="A22" s="2">
        <v>298</v>
      </c>
      <c r="B22" s="2" t="s">
        <v>9</v>
      </c>
      <c r="C22" s="2" t="s">
        <v>9</v>
      </c>
      <c r="D22" s="2">
        <v>81</v>
      </c>
      <c r="E22" s="2" t="s">
        <v>10</v>
      </c>
      <c r="F22" s="2" t="s">
        <v>11</v>
      </c>
      <c r="G22" s="2">
        <v>25.5</v>
      </c>
      <c r="H22" s="5">
        <v>2</v>
      </c>
      <c r="I22" s="2">
        <v>1</v>
      </c>
      <c r="J22" s="2" cm="1">
        <f t="array" ref="J22">_xlfn.IFS(H22=0,0,H22=1,1,H22=2,1,H22=3,2,H22=4,2)</f>
        <v>1</v>
      </c>
      <c r="O22" s="4"/>
      <c r="S22" s="4"/>
    </row>
    <row r="23" spans="1:19" x14ac:dyDescent="0.35">
      <c r="A23" s="2">
        <v>299</v>
      </c>
      <c r="B23" s="2" t="s">
        <v>9</v>
      </c>
      <c r="D23" s="2">
        <v>76</v>
      </c>
      <c r="E23" s="2" t="s">
        <v>15</v>
      </c>
      <c r="F23" s="2" t="s">
        <v>11</v>
      </c>
      <c r="G23" s="2">
        <v>24</v>
      </c>
      <c r="H23" s="5">
        <v>2</v>
      </c>
      <c r="I23" s="2">
        <v>1</v>
      </c>
      <c r="J23" s="2" cm="1">
        <f t="array" ref="J23">_xlfn.IFS(H23=0,0,H23=1,1,H23=2,1,H23=3,2,H23=4,2)</f>
        <v>1</v>
      </c>
      <c r="O23" s="4"/>
      <c r="S23" s="4"/>
    </row>
    <row r="24" spans="1:19" x14ac:dyDescent="0.35">
      <c r="A24" s="2">
        <v>300</v>
      </c>
      <c r="B24" s="2" t="s">
        <v>9</v>
      </c>
      <c r="C24" s="2" t="s">
        <v>9</v>
      </c>
      <c r="D24" s="2">
        <v>79</v>
      </c>
      <c r="E24" s="2" t="s">
        <v>10</v>
      </c>
      <c r="F24" s="2" t="s">
        <v>11</v>
      </c>
      <c r="G24" s="2">
        <v>28.2</v>
      </c>
      <c r="H24" s="5">
        <v>4</v>
      </c>
      <c r="I24" s="2">
        <v>1</v>
      </c>
      <c r="J24" s="2" cm="1">
        <f t="array" ref="J24">_xlfn.IFS(H24=0,0,H24=1,1,H24=2,1,H24=3,2,H24=4,2)</f>
        <v>2</v>
      </c>
      <c r="O24" s="4"/>
      <c r="S24" s="4"/>
    </row>
    <row r="25" spans="1:19" x14ac:dyDescent="0.35">
      <c r="A25" s="2">
        <v>301</v>
      </c>
      <c r="B25" s="2" t="s">
        <v>9</v>
      </c>
      <c r="C25" s="2" t="s">
        <v>9</v>
      </c>
      <c r="D25" s="2">
        <v>57</v>
      </c>
      <c r="E25" s="2" t="s">
        <v>10</v>
      </c>
      <c r="F25" s="2" t="s">
        <v>13</v>
      </c>
      <c r="G25" s="2">
        <v>24.5</v>
      </c>
      <c r="H25" s="5">
        <v>1</v>
      </c>
      <c r="I25" s="2">
        <v>1</v>
      </c>
      <c r="J25" s="2" cm="1">
        <f t="array" ref="J25">_xlfn.IFS(H25=0,0,H25=1,1,H25=2,1,H25=3,2,H25=4,2)</f>
        <v>1</v>
      </c>
      <c r="O25" s="4"/>
      <c r="S25" s="4"/>
    </row>
    <row r="26" spans="1:19" x14ac:dyDescent="0.35">
      <c r="A26" s="2">
        <v>302</v>
      </c>
      <c r="B26" s="2" t="s">
        <v>9</v>
      </c>
      <c r="C26" s="2" t="s">
        <v>9</v>
      </c>
      <c r="D26" s="2">
        <v>70</v>
      </c>
      <c r="E26" s="2" t="s">
        <v>15</v>
      </c>
      <c r="F26" s="2" t="s">
        <v>18</v>
      </c>
      <c r="G26" s="2">
        <v>30.2</v>
      </c>
      <c r="H26" s="5">
        <v>0</v>
      </c>
      <c r="I26" s="2">
        <v>0</v>
      </c>
      <c r="J26" s="2" cm="1">
        <f t="array" ref="J26">_xlfn.IFS(H26=0,0,H26=1,1,H26=2,1,H26=3,2,H26=4,2)</f>
        <v>0</v>
      </c>
      <c r="O26" s="4"/>
      <c r="S26" s="4"/>
    </row>
    <row r="27" spans="1:19" x14ac:dyDescent="0.35">
      <c r="A27" s="2">
        <v>304</v>
      </c>
      <c r="B27" s="2" t="s">
        <v>9</v>
      </c>
      <c r="C27" s="2" t="s">
        <v>9</v>
      </c>
      <c r="D27" s="2">
        <v>67</v>
      </c>
      <c r="E27" s="2" t="s">
        <v>10</v>
      </c>
      <c r="F27" s="2" t="s">
        <v>11</v>
      </c>
      <c r="G27" s="2">
        <v>28.8</v>
      </c>
      <c r="H27" s="5">
        <v>1</v>
      </c>
      <c r="I27" s="2">
        <v>1</v>
      </c>
      <c r="J27" s="2" cm="1">
        <f t="array" ref="J27">_xlfn.IFS(H27=0,0,H27=1,1,H27=2,1,H27=3,2,H27=4,2)</f>
        <v>1</v>
      </c>
      <c r="O27" s="4"/>
      <c r="S27" s="4"/>
    </row>
    <row r="28" spans="1:19" x14ac:dyDescent="0.35">
      <c r="A28" s="2">
        <v>305</v>
      </c>
      <c r="B28" s="2" t="s">
        <v>9</v>
      </c>
      <c r="C28" s="2" t="s">
        <v>9</v>
      </c>
      <c r="D28" s="2">
        <v>58</v>
      </c>
      <c r="E28" s="2" t="s">
        <v>10</v>
      </c>
      <c r="F28" s="2" t="s">
        <v>19</v>
      </c>
      <c r="G28" s="2">
        <v>23.8</v>
      </c>
      <c r="H28" s="5">
        <v>4</v>
      </c>
      <c r="I28" s="2">
        <v>1</v>
      </c>
      <c r="J28" s="2" cm="1">
        <f t="array" ref="J28">_xlfn.IFS(H28=0,0,H28=1,1,H28=2,1,H28=3,2,H28=4,2)</f>
        <v>2</v>
      </c>
      <c r="O28" s="4"/>
      <c r="S28" s="4"/>
    </row>
    <row r="29" spans="1:19" x14ac:dyDescent="0.35">
      <c r="A29" s="2">
        <v>306</v>
      </c>
      <c r="B29" s="2" t="s">
        <v>9</v>
      </c>
      <c r="C29" s="2" t="s">
        <v>9</v>
      </c>
      <c r="D29" s="2">
        <v>56</v>
      </c>
      <c r="E29" s="2" t="s">
        <v>10</v>
      </c>
      <c r="F29" s="2" t="s">
        <v>12</v>
      </c>
      <c r="G29" s="2">
        <v>30.7</v>
      </c>
      <c r="H29" s="5">
        <v>3</v>
      </c>
      <c r="I29" s="2">
        <v>1</v>
      </c>
      <c r="J29" s="2" cm="1">
        <f t="array" ref="J29">_xlfn.IFS(H29=0,0,H29=1,1,H29=2,1,H29=3,2,H29=4,2)</f>
        <v>2</v>
      </c>
      <c r="O29" s="4"/>
      <c r="S29" s="4"/>
    </row>
    <row r="30" spans="1:19" x14ac:dyDescent="0.35">
      <c r="A30" s="2">
        <v>309</v>
      </c>
      <c r="B30" s="2" t="s">
        <v>9</v>
      </c>
      <c r="D30" s="2">
        <v>61</v>
      </c>
      <c r="E30" s="2" t="s">
        <v>10</v>
      </c>
      <c r="F30" s="2" t="s">
        <v>11</v>
      </c>
      <c r="G30" s="2">
        <v>39</v>
      </c>
      <c r="H30" s="5">
        <v>1</v>
      </c>
      <c r="I30" s="2">
        <v>1</v>
      </c>
      <c r="J30" s="2" cm="1">
        <f t="array" ref="J30">_xlfn.IFS(H30=0,0,H30=1,1,H30=2,1,H30=3,2,H30=4,2)</f>
        <v>1</v>
      </c>
      <c r="O30" s="4"/>
      <c r="S30" s="4"/>
    </row>
    <row r="31" spans="1:19" x14ac:dyDescent="0.35">
      <c r="A31" s="2">
        <v>310</v>
      </c>
      <c r="B31" s="2" t="s">
        <v>9</v>
      </c>
      <c r="C31" s="2" t="s">
        <v>9</v>
      </c>
      <c r="D31" s="2">
        <v>65</v>
      </c>
      <c r="E31" s="2" t="s">
        <v>10</v>
      </c>
      <c r="F31" s="2" t="s">
        <v>11</v>
      </c>
      <c r="G31" s="2">
        <v>36.5</v>
      </c>
      <c r="H31" s="5">
        <v>2</v>
      </c>
      <c r="I31" s="2">
        <v>1</v>
      </c>
      <c r="J31" s="2" cm="1">
        <f t="array" ref="J31">_xlfn.IFS(H31=0,0,H31=1,1,H31=2,1,H31=3,2,H31=4,2)</f>
        <v>1</v>
      </c>
      <c r="O31" s="4"/>
      <c r="S31" s="4"/>
    </row>
    <row r="32" spans="1:19" x14ac:dyDescent="0.35">
      <c r="A32" s="2">
        <v>312</v>
      </c>
      <c r="B32" s="2" t="s">
        <v>9</v>
      </c>
      <c r="C32" s="2" t="s">
        <v>9</v>
      </c>
      <c r="D32" s="2">
        <v>63</v>
      </c>
      <c r="E32" s="2" t="s">
        <v>10</v>
      </c>
      <c r="F32" s="2" t="s">
        <v>11</v>
      </c>
      <c r="G32" s="2">
        <v>26.2</v>
      </c>
      <c r="H32" s="5">
        <v>4</v>
      </c>
      <c r="I32" s="2">
        <v>1</v>
      </c>
      <c r="J32" s="2" cm="1">
        <f t="array" ref="J32">_xlfn.IFS(H32=0,0,H32=1,1,H32=2,1,H32=3,2,H32=4,2)</f>
        <v>2</v>
      </c>
      <c r="O32" s="4"/>
      <c r="S32" s="4"/>
    </row>
    <row r="33" spans="1:19" x14ac:dyDescent="0.35">
      <c r="A33" s="2">
        <v>313</v>
      </c>
      <c r="B33" s="2" t="s">
        <v>9</v>
      </c>
      <c r="C33" s="2" t="s">
        <v>9</v>
      </c>
      <c r="D33" s="2">
        <v>64</v>
      </c>
      <c r="E33" s="2" t="s">
        <v>10</v>
      </c>
      <c r="F33" s="2" t="s">
        <v>11</v>
      </c>
      <c r="G33" s="2">
        <v>19.100000000000001</v>
      </c>
      <c r="H33" s="5">
        <v>3</v>
      </c>
      <c r="I33" s="2">
        <v>1</v>
      </c>
      <c r="J33" s="2" cm="1">
        <f t="array" ref="J33">_xlfn.IFS(H33=0,0,H33=1,1,H33=2,1,H33=3,2,H33=4,2)</f>
        <v>2</v>
      </c>
      <c r="O33" s="4"/>
      <c r="S33" s="4"/>
    </row>
    <row r="34" spans="1:19" x14ac:dyDescent="0.35">
      <c r="A34" s="2">
        <v>314</v>
      </c>
      <c r="B34" s="2" t="s">
        <v>9</v>
      </c>
      <c r="C34" s="2" t="s">
        <v>9</v>
      </c>
      <c r="D34" s="2">
        <v>57</v>
      </c>
      <c r="E34" s="2" t="s">
        <v>10</v>
      </c>
      <c r="F34" s="2" t="s">
        <v>11</v>
      </c>
      <c r="G34" s="2">
        <v>16.600000000000001</v>
      </c>
      <c r="H34" s="5">
        <v>4</v>
      </c>
      <c r="I34" s="2">
        <v>1</v>
      </c>
      <c r="J34" s="2" cm="1">
        <f t="array" ref="J34">_xlfn.IFS(H34=0,0,H34=1,1,H34=2,1,H34=3,2,H34=4,2)</f>
        <v>2</v>
      </c>
      <c r="O34" s="4"/>
      <c r="S34" s="4"/>
    </row>
    <row r="35" spans="1:19" x14ac:dyDescent="0.35">
      <c r="A35" s="2">
        <v>315</v>
      </c>
      <c r="B35" s="2" t="s">
        <v>9</v>
      </c>
      <c r="C35" s="2" t="s">
        <v>9</v>
      </c>
      <c r="D35" s="2">
        <v>72</v>
      </c>
      <c r="E35" s="2" t="s">
        <v>15</v>
      </c>
      <c r="F35" s="2" t="s">
        <v>11</v>
      </c>
      <c r="G35" s="2">
        <v>21.7</v>
      </c>
      <c r="H35" s="5">
        <v>2</v>
      </c>
      <c r="I35" s="2">
        <v>1</v>
      </c>
      <c r="J35" s="2" cm="1">
        <f t="array" ref="J35">_xlfn.IFS(H35=0,0,H35=1,1,H35=2,1,H35=3,2,H35=4,2)</f>
        <v>1</v>
      </c>
      <c r="O35" s="4"/>
      <c r="S35" s="4"/>
    </row>
    <row r="36" spans="1:19" x14ac:dyDescent="0.35">
      <c r="A36" s="2">
        <v>316</v>
      </c>
      <c r="B36" s="2" t="s">
        <v>9</v>
      </c>
      <c r="C36" s="2" t="s">
        <v>9</v>
      </c>
      <c r="D36" s="2">
        <v>65</v>
      </c>
      <c r="E36" s="2" t="s">
        <v>10</v>
      </c>
      <c r="F36" s="2" t="s">
        <v>11</v>
      </c>
      <c r="G36" s="2">
        <v>29.6</v>
      </c>
      <c r="H36" s="5">
        <v>4</v>
      </c>
      <c r="I36" s="2">
        <v>1</v>
      </c>
      <c r="J36" s="2" cm="1">
        <f t="array" ref="J36">_xlfn.IFS(H36=0,0,H36=1,1,H36=2,1,H36=3,2,H36=4,2)</f>
        <v>2</v>
      </c>
      <c r="O36" s="4"/>
      <c r="S36" s="4"/>
    </row>
    <row r="37" spans="1:19" x14ac:dyDescent="0.35">
      <c r="A37" s="2">
        <v>317</v>
      </c>
      <c r="C37" s="2" t="s">
        <v>9</v>
      </c>
      <c r="D37" s="2">
        <v>79</v>
      </c>
      <c r="E37" s="2" t="s">
        <v>15</v>
      </c>
      <c r="F37" s="2" t="s">
        <v>11</v>
      </c>
      <c r="G37" s="2">
        <v>24.9</v>
      </c>
      <c r="H37" s="5">
        <v>0</v>
      </c>
      <c r="I37" s="2">
        <v>0</v>
      </c>
      <c r="J37" s="2" cm="1">
        <f t="array" ref="J37">_xlfn.IFS(H37=0,0,H37=1,1,H37=2,1,H37=3,2,H37=4,2)</f>
        <v>0</v>
      </c>
      <c r="O37" s="4"/>
      <c r="S37" s="4"/>
    </row>
    <row r="38" spans="1:19" x14ac:dyDescent="0.35">
      <c r="A38" s="2">
        <v>318</v>
      </c>
      <c r="B38" s="2" t="s">
        <v>9</v>
      </c>
      <c r="C38" s="2" t="s">
        <v>9</v>
      </c>
      <c r="D38" s="2">
        <v>78</v>
      </c>
      <c r="E38" s="2" t="s">
        <v>15</v>
      </c>
      <c r="F38" s="2" t="s">
        <v>11</v>
      </c>
      <c r="G38" s="2">
        <v>13.5</v>
      </c>
      <c r="H38" s="5">
        <v>3</v>
      </c>
      <c r="I38" s="2">
        <v>1</v>
      </c>
      <c r="J38" s="2" cm="1">
        <f t="array" ref="J38">_xlfn.IFS(H38=0,0,H38=1,1,H38=2,1,H38=3,2,H38=4,2)</f>
        <v>2</v>
      </c>
      <c r="O38" s="4"/>
      <c r="S38" s="4"/>
    </row>
    <row r="39" spans="1:19" x14ac:dyDescent="0.35">
      <c r="A39" s="2">
        <v>319</v>
      </c>
      <c r="B39" s="2" t="s">
        <v>9</v>
      </c>
      <c r="C39" s="2" t="s">
        <v>9</v>
      </c>
      <c r="D39" s="2">
        <v>62</v>
      </c>
      <c r="E39" s="2" t="s">
        <v>15</v>
      </c>
      <c r="F39" s="2" t="s">
        <v>11</v>
      </c>
      <c r="G39" s="2">
        <v>39.299999999999997</v>
      </c>
      <c r="H39" s="5">
        <v>4</v>
      </c>
      <c r="I39" s="2">
        <v>1</v>
      </c>
      <c r="J39" s="2" cm="1">
        <f t="array" ref="J39">_xlfn.IFS(H39=0,0,H39=1,1,H39=2,1,H39=3,2,H39=4,2)</f>
        <v>2</v>
      </c>
      <c r="O39" s="4"/>
      <c r="S39" s="4"/>
    </row>
    <row r="40" spans="1:19" x14ac:dyDescent="0.35">
      <c r="A40" s="2">
        <v>320</v>
      </c>
      <c r="B40" s="2" t="s">
        <v>9</v>
      </c>
      <c r="C40" s="2" t="s">
        <v>9</v>
      </c>
      <c r="D40" s="2">
        <v>54</v>
      </c>
      <c r="E40" s="2" t="s">
        <v>10</v>
      </c>
      <c r="F40" s="2" t="s">
        <v>11</v>
      </c>
      <c r="G40" s="2">
        <v>26.1</v>
      </c>
      <c r="H40" s="5">
        <v>1</v>
      </c>
      <c r="I40" s="2">
        <v>1</v>
      </c>
      <c r="J40" s="2" cm="1">
        <f t="array" ref="J40">_xlfn.IFS(H40=0,0,H40=1,1,H40=2,1,H40=3,2,H40=4,2)</f>
        <v>1</v>
      </c>
      <c r="O40" s="4"/>
      <c r="S40" s="4"/>
    </row>
    <row r="41" spans="1:19" x14ac:dyDescent="0.35">
      <c r="A41" s="2">
        <v>321</v>
      </c>
      <c r="B41" s="2" t="s">
        <v>9</v>
      </c>
      <c r="C41" s="2" t="s">
        <v>9</v>
      </c>
      <c r="D41" s="2">
        <v>47</v>
      </c>
      <c r="E41" s="2" t="s">
        <v>15</v>
      </c>
      <c r="F41" s="2" t="s">
        <v>11</v>
      </c>
      <c r="G41" s="2">
        <v>24.6</v>
      </c>
      <c r="H41" s="5">
        <v>0</v>
      </c>
      <c r="I41" s="2">
        <v>0</v>
      </c>
      <c r="J41" s="2" cm="1">
        <f t="array" ref="J41">_xlfn.IFS(H41=0,0,H41=1,1,H41=2,1,H41=3,2,H41=4,2)</f>
        <v>0</v>
      </c>
      <c r="O41" s="4"/>
      <c r="S41" s="4"/>
    </row>
    <row r="42" spans="1:19" x14ac:dyDescent="0.35">
      <c r="A42" s="2">
        <v>322</v>
      </c>
      <c r="B42" s="2" t="s">
        <v>9</v>
      </c>
      <c r="C42" s="2" t="s">
        <v>9</v>
      </c>
      <c r="D42" s="2">
        <v>69</v>
      </c>
      <c r="E42" s="2" t="s">
        <v>10</v>
      </c>
      <c r="F42" s="2" t="s">
        <v>11</v>
      </c>
      <c r="G42" s="2">
        <v>18.399999999999999</v>
      </c>
      <c r="H42" s="5">
        <v>4</v>
      </c>
      <c r="I42" s="2">
        <v>1</v>
      </c>
      <c r="J42" s="2" cm="1">
        <f t="array" ref="J42">_xlfn.IFS(H42=0,0,H42=1,1,H42=2,1,H42=3,2,H42=4,2)</f>
        <v>2</v>
      </c>
      <c r="O42" s="4"/>
      <c r="S42" s="4"/>
    </row>
    <row r="43" spans="1:19" x14ac:dyDescent="0.35">
      <c r="A43" s="2">
        <v>323</v>
      </c>
      <c r="B43" s="2" t="s">
        <v>9</v>
      </c>
      <c r="D43" s="2">
        <v>78</v>
      </c>
      <c r="E43" s="2" t="s">
        <v>15</v>
      </c>
      <c r="F43" s="2" t="s">
        <v>11</v>
      </c>
      <c r="G43" s="2">
        <v>19.2</v>
      </c>
      <c r="H43" s="5">
        <v>1</v>
      </c>
      <c r="I43" s="2">
        <v>1</v>
      </c>
      <c r="J43" s="2" cm="1">
        <f t="array" ref="J43">_xlfn.IFS(H43=0,0,H43=1,1,H43=2,1,H43=3,2,H43=4,2)</f>
        <v>1</v>
      </c>
      <c r="O43" s="4"/>
      <c r="S43" s="4"/>
    </row>
    <row r="44" spans="1:19" x14ac:dyDescent="0.35">
      <c r="A44" s="2">
        <v>324</v>
      </c>
      <c r="B44" s="2" t="s">
        <v>9</v>
      </c>
      <c r="C44" s="2" t="s">
        <v>9</v>
      </c>
      <c r="D44" s="2">
        <v>57</v>
      </c>
      <c r="E44" s="2" t="s">
        <v>10</v>
      </c>
      <c r="F44" s="2" t="s">
        <v>11</v>
      </c>
      <c r="G44" s="2">
        <v>19.2</v>
      </c>
      <c r="H44" s="5">
        <v>4</v>
      </c>
      <c r="I44" s="2">
        <v>1</v>
      </c>
      <c r="J44" s="2" cm="1">
        <f t="array" ref="J44">_xlfn.IFS(H44=0,0,H44=1,1,H44=2,1,H44=3,2,H44=4,2)</f>
        <v>2</v>
      </c>
      <c r="O44" s="4"/>
      <c r="S44" s="4"/>
    </row>
    <row r="45" spans="1:19" x14ac:dyDescent="0.35">
      <c r="A45" s="2">
        <v>325</v>
      </c>
      <c r="B45" s="2" t="s">
        <v>9</v>
      </c>
      <c r="D45" s="2">
        <v>78</v>
      </c>
      <c r="E45" s="2" t="s">
        <v>10</v>
      </c>
      <c r="F45" s="2" t="s">
        <v>14</v>
      </c>
      <c r="G45" s="2">
        <v>25.5</v>
      </c>
      <c r="H45" s="5">
        <v>2</v>
      </c>
      <c r="I45" s="2">
        <v>1</v>
      </c>
      <c r="J45" s="2" cm="1">
        <f t="array" ref="J45">_xlfn.IFS(H45=0,0,H45=1,1,H45=2,1,H45=3,2,H45=4,2)</f>
        <v>1</v>
      </c>
      <c r="O45" s="4"/>
      <c r="S45" s="4"/>
    </row>
    <row r="46" spans="1:19" x14ac:dyDescent="0.35">
      <c r="A46" s="2">
        <v>326</v>
      </c>
      <c r="B46" s="2" t="s">
        <v>9</v>
      </c>
      <c r="C46" s="2" t="s">
        <v>9</v>
      </c>
      <c r="D46" s="2">
        <v>58</v>
      </c>
      <c r="E46" s="2" t="s">
        <v>15</v>
      </c>
      <c r="F46" s="2" t="s">
        <v>11</v>
      </c>
      <c r="G46" s="2">
        <v>25</v>
      </c>
      <c r="H46" s="5">
        <v>0</v>
      </c>
      <c r="I46" s="2">
        <v>0</v>
      </c>
      <c r="J46" s="2" cm="1">
        <f t="array" ref="J46">_xlfn.IFS(H46=0,0,H46=1,1,H46=2,1,H46=3,2,H46=4,2)</f>
        <v>0</v>
      </c>
      <c r="O46" s="4"/>
      <c r="S46" s="4"/>
    </row>
    <row r="47" spans="1:19" x14ac:dyDescent="0.35">
      <c r="A47" s="2">
        <v>327</v>
      </c>
      <c r="B47" s="2" t="s">
        <v>9</v>
      </c>
      <c r="C47" s="2" t="s">
        <v>9</v>
      </c>
      <c r="D47" s="2">
        <v>61</v>
      </c>
      <c r="E47" s="2" t="s">
        <v>10</v>
      </c>
      <c r="F47" s="2" t="s">
        <v>11</v>
      </c>
      <c r="G47" s="2">
        <v>23.8</v>
      </c>
      <c r="H47" s="5">
        <v>4</v>
      </c>
      <c r="I47" s="2">
        <v>1</v>
      </c>
      <c r="J47" s="2" cm="1">
        <f t="array" ref="J47">_xlfn.IFS(H47=0,0,H47=1,1,H47=2,1,H47=3,2,H47=4,2)</f>
        <v>2</v>
      </c>
      <c r="O47" s="4"/>
      <c r="S47" s="4"/>
    </row>
    <row r="48" spans="1:19" x14ac:dyDescent="0.35">
      <c r="A48" s="2">
        <v>328</v>
      </c>
      <c r="B48" s="2" t="s">
        <v>9</v>
      </c>
      <c r="D48" s="2">
        <v>71</v>
      </c>
      <c r="E48" s="2" t="s">
        <v>15</v>
      </c>
      <c r="F48" s="2" t="s">
        <v>11</v>
      </c>
      <c r="G48" s="2">
        <v>41.9</v>
      </c>
      <c r="H48" s="5">
        <v>4</v>
      </c>
      <c r="I48" s="2">
        <v>1</v>
      </c>
      <c r="J48" s="2" cm="1">
        <f t="array" ref="J48">_xlfn.IFS(H48=0,0,H48=1,1,H48=2,1,H48=3,2,H48=4,2)</f>
        <v>2</v>
      </c>
      <c r="O48" s="4"/>
      <c r="S48" s="4"/>
    </row>
    <row r="49" spans="1:19" x14ac:dyDescent="0.35">
      <c r="A49" s="2">
        <v>329</v>
      </c>
      <c r="B49" s="2" t="s">
        <v>9</v>
      </c>
      <c r="C49" s="2" t="s">
        <v>9</v>
      </c>
      <c r="D49" s="2">
        <v>72</v>
      </c>
      <c r="E49" s="2" t="s">
        <v>15</v>
      </c>
      <c r="F49" s="2" t="s">
        <v>11</v>
      </c>
      <c r="G49" s="2">
        <v>26.9</v>
      </c>
      <c r="H49" s="5">
        <v>1</v>
      </c>
      <c r="I49" s="2">
        <v>1</v>
      </c>
      <c r="J49" s="2" cm="1">
        <f t="array" ref="J49">_xlfn.IFS(H49=0,0,H49=1,1,H49=2,1,H49=3,2,H49=4,2)</f>
        <v>1</v>
      </c>
      <c r="O49" s="4"/>
      <c r="S49" s="4"/>
    </row>
    <row r="50" spans="1:19" x14ac:dyDescent="0.35">
      <c r="A50" s="2">
        <v>330</v>
      </c>
      <c r="B50" s="2" t="s">
        <v>9</v>
      </c>
      <c r="C50" s="2" t="s">
        <v>9</v>
      </c>
      <c r="D50" s="2">
        <v>30</v>
      </c>
      <c r="E50" s="2" t="s">
        <v>15</v>
      </c>
      <c r="F50" s="2" t="s">
        <v>11</v>
      </c>
      <c r="G50" s="2">
        <v>30.7</v>
      </c>
      <c r="H50" s="5">
        <v>2</v>
      </c>
      <c r="I50" s="2">
        <v>1</v>
      </c>
      <c r="J50" s="2" cm="1">
        <f t="array" ref="J50">_xlfn.IFS(H50=0,0,H50=1,1,H50=2,1,H50=3,2,H50=4,2)</f>
        <v>1</v>
      </c>
      <c r="O50" s="4"/>
      <c r="S50" s="4"/>
    </row>
    <row r="51" spans="1:19" x14ac:dyDescent="0.35">
      <c r="A51" s="2">
        <v>331</v>
      </c>
      <c r="B51" s="2" t="s">
        <v>9</v>
      </c>
      <c r="C51" s="2" t="s">
        <v>9</v>
      </c>
      <c r="D51" s="2">
        <v>76</v>
      </c>
      <c r="E51" s="2" t="s">
        <v>10</v>
      </c>
      <c r="F51" s="2" t="s">
        <v>13</v>
      </c>
      <c r="G51" s="2">
        <v>35.4</v>
      </c>
      <c r="H51" s="5">
        <v>0</v>
      </c>
      <c r="I51" s="2">
        <v>0</v>
      </c>
      <c r="J51" s="2" cm="1">
        <f t="array" ref="J51">_xlfn.IFS(H51=0,0,H51=1,1,H51=2,1,H51=3,2,H51=4,2)</f>
        <v>0</v>
      </c>
      <c r="O51" s="4"/>
      <c r="S51" s="4"/>
    </row>
    <row r="52" spans="1:19" x14ac:dyDescent="0.35">
      <c r="A52" s="2">
        <v>334</v>
      </c>
      <c r="B52" s="2" t="s">
        <v>9</v>
      </c>
      <c r="C52" s="2" t="s">
        <v>9</v>
      </c>
      <c r="D52" s="2">
        <v>67</v>
      </c>
      <c r="E52" s="2" t="s">
        <v>10</v>
      </c>
      <c r="F52" s="2" t="s">
        <v>11</v>
      </c>
      <c r="G52" s="2">
        <v>24.6</v>
      </c>
      <c r="H52" s="5">
        <v>1</v>
      </c>
      <c r="I52" s="2">
        <v>1</v>
      </c>
      <c r="J52" s="2" cm="1">
        <f t="array" ref="J52">_xlfn.IFS(H52=0,0,H52=1,1,H52=2,1,H52=3,2,H52=4,2)</f>
        <v>1</v>
      </c>
      <c r="O52" s="4"/>
      <c r="S52" s="4"/>
    </row>
    <row r="53" spans="1:19" x14ac:dyDescent="0.35">
      <c r="A53" s="2">
        <v>335</v>
      </c>
      <c r="B53" s="2" t="s">
        <v>9</v>
      </c>
      <c r="D53" s="2">
        <v>76</v>
      </c>
      <c r="E53" s="2" t="s">
        <v>15</v>
      </c>
      <c r="F53" s="2" t="s">
        <v>11</v>
      </c>
      <c r="G53" s="2">
        <v>27.5</v>
      </c>
      <c r="H53" s="5">
        <v>4</v>
      </c>
      <c r="I53" s="2">
        <v>1</v>
      </c>
      <c r="J53" s="2" cm="1">
        <f t="array" ref="J53">_xlfn.IFS(H53=0,0,H53=1,1,H53=2,1,H53=3,2,H53=4,2)</f>
        <v>2</v>
      </c>
      <c r="O53" s="4"/>
      <c r="S53" s="4"/>
    </row>
    <row r="54" spans="1:19" x14ac:dyDescent="0.35">
      <c r="A54" s="2">
        <v>336</v>
      </c>
      <c r="B54" s="2" t="s">
        <v>9</v>
      </c>
      <c r="C54" s="2" t="s">
        <v>9</v>
      </c>
      <c r="D54" s="2">
        <v>66</v>
      </c>
      <c r="E54" s="2" t="s">
        <v>15</v>
      </c>
      <c r="F54" s="2" t="s">
        <v>11</v>
      </c>
      <c r="G54" s="2">
        <v>24.3</v>
      </c>
      <c r="H54" s="5">
        <v>0</v>
      </c>
      <c r="I54" s="2">
        <v>0</v>
      </c>
      <c r="J54" s="2" cm="1">
        <f t="array" ref="J54">_xlfn.IFS(H54=0,0,H54=1,1,H54=2,1,H54=3,2,H54=4,2)</f>
        <v>0</v>
      </c>
      <c r="O54" s="4"/>
      <c r="S54" s="4"/>
    </row>
    <row r="55" spans="1:19" x14ac:dyDescent="0.35">
      <c r="A55" s="2">
        <v>337</v>
      </c>
      <c r="B55" s="2" t="s">
        <v>9</v>
      </c>
      <c r="C55" s="2" t="s">
        <v>9</v>
      </c>
      <c r="D55" s="2">
        <v>58</v>
      </c>
      <c r="E55" s="2" t="s">
        <v>15</v>
      </c>
      <c r="F55" s="2" t="s">
        <v>11</v>
      </c>
      <c r="G55" s="2">
        <v>27</v>
      </c>
      <c r="H55" s="5">
        <v>0</v>
      </c>
      <c r="I55" s="2">
        <v>0</v>
      </c>
      <c r="J55" s="2" cm="1">
        <f t="array" ref="J55">_xlfn.IFS(H55=0,0,H55=1,1,H55=2,1,H55=3,2,H55=4,2)</f>
        <v>0</v>
      </c>
      <c r="O55" s="4"/>
      <c r="S55" s="4"/>
    </row>
    <row r="56" spans="1:19" x14ac:dyDescent="0.35">
      <c r="A56" s="2">
        <v>338</v>
      </c>
      <c r="C56" s="2" t="s">
        <v>9</v>
      </c>
      <c r="D56" s="2">
        <v>60</v>
      </c>
      <c r="E56" s="2" t="s">
        <v>15</v>
      </c>
      <c r="F56" s="2" t="s">
        <v>11</v>
      </c>
      <c r="G56" s="2">
        <v>25.5</v>
      </c>
      <c r="H56" s="5">
        <v>4</v>
      </c>
      <c r="I56" s="2">
        <v>1</v>
      </c>
      <c r="J56" s="2" cm="1">
        <f t="array" ref="J56">_xlfn.IFS(H56=0,0,H56=1,1,H56=2,1,H56=3,2,H56=4,2)</f>
        <v>2</v>
      </c>
      <c r="O56" s="4"/>
      <c r="S56" s="4"/>
    </row>
    <row r="57" spans="1:19" x14ac:dyDescent="0.35">
      <c r="A57" s="2">
        <v>339</v>
      </c>
      <c r="B57" s="2" t="s">
        <v>9</v>
      </c>
      <c r="C57" s="2" t="s">
        <v>9</v>
      </c>
      <c r="D57" s="2">
        <v>65</v>
      </c>
      <c r="E57" s="2" t="s">
        <v>10</v>
      </c>
      <c r="F57" s="2" t="s">
        <v>18</v>
      </c>
      <c r="G57" s="2">
        <v>32</v>
      </c>
      <c r="H57" s="5">
        <v>0</v>
      </c>
      <c r="I57" s="2">
        <v>0</v>
      </c>
      <c r="J57" s="2" cm="1">
        <f t="array" ref="J57">_xlfn.IFS(H57=0,0,H57=1,1,H57=2,1,H57=3,2,H57=4,2)</f>
        <v>0</v>
      </c>
      <c r="O57" s="4"/>
      <c r="S57" s="4"/>
    </row>
    <row r="58" spans="1:19" x14ac:dyDescent="0.35">
      <c r="A58" s="2">
        <v>340</v>
      </c>
      <c r="B58" s="2" t="s">
        <v>9</v>
      </c>
      <c r="C58" s="2" t="s">
        <v>9</v>
      </c>
      <c r="D58" s="2">
        <v>29</v>
      </c>
      <c r="E58" s="2" t="s">
        <v>10</v>
      </c>
      <c r="F58" s="2" t="s">
        <v>11</v>
      </c>
      <c r="G58" s="2">
        <v>27.9</v>
      </c>
      <c r="H58" s="5">
        <v>0</v>
      </c>
      <c r="I58" s="2">
        <v>0</v>
      </c>
      <c r="J58" s="2" cm="1">
        <f t="array" ref="J58">_xlfn.IFS(H58=0,0,H58=1,1,H58=2,1,H58=3,2,H58=4,2)</f>
        <v>0</v>
      </c>
      <c r="O58" s="4"/>
      <c r="S58" s="4"/>
    </row>
    <row r="59" spans="1:19" x14ac:dyDescent="0.35">
      <c r="A59" s="2">
        <v>341</v>
      </c>
      <c r="B59" s="2" t="s">
        <v>9</v>
      </c>
      <c r="C59" s="2" t="s">
        <v>9</v>
      </c>
      <c r="D59" s="2">
        <v>57</v>
      </c>
      <c r="E59" s="2" t="s">
        <v>15</v>
      </c>
      <c r="F59" s="2" t="s">
        <v>11</v>
      </c>
      <c r="G59" s="2">
        <v>44.6</v>
      </c>
      <c r="H59" s="5">
        <v>0</v>
      </c>
      <c r="I59" s="2">
        <v>0</v>
      </c>
      <c r="J59" s="2" cm="1">
        <f t="array" ref="J59">_xlfn.IFS(H59=0,0,H59=1,1,H59=2,1,H59=3,2,H59=4,2)</f>
        <v>0</v>
      </c>
      <c r="O59" s="4"/>
      <c r="S59" s="4"/>
    </row>
    <row r="60" spans="1:19" x14ac:dyDescent="0.35">
      <c r="A60" s="2">
        <v>342</v>
      </c>
      <c r="B60" s="2" t="s">
        <v>9</v>
      </c>
      <c r="C60" s="2" t="s">
        <v>9</v>
      </c>
      <c r="D60" s="2">
        <v>37</v>
      </c>
      <c r="E60" s="2" t="s">
        <v>10</v>
      </c>
      <c r="F60" s="2" t="s">
        <v>11</v>
      </c>
      <c r="G60" s="2">
        <v>37.1</v>
      </c>
      <c r="H60" s="5">
        <v>0</v>
      </c>
      <c r="I60" s="2">
        <v>0</v>
      </c>
      <c r="J60" s="2" cm="1">
        <f t="array" ref="J60">_xlfn.IFS(H60=0,0,H60=1,1,H60=2,1,H60=3,2,H60=4,2)</f>
        <v>0</v>
      </c>
      <c r="O60" s="4"/>
      <c r="S60" s="4"/>
    </row>
    <row r="61" spans="1:19" ht="18.600000000000001" thickBot="1" x14ac:dyDescent="0.4">
      <c r="A61" s="2">
        <v>345</v>
      </c>
      <c r="B61" s="2" t="s">
        <v>9</v>
      </c>
      <c r="C61" s="2" t="s">
        <v>9</v>
      </c>
      <c r="D61" s="2">
        <v>34</v>
      </c>
      <c r="E61" s="2" t="s">
        <v>10</v>
      </c>
      <c r="F61" s="2" t="s">
        <v>18</v>
      </c>
      <c r="G61" s="2">
        <v>28.7</v>
      </c>
      <c r="H61" s="5">
        <v>0</v>
      </c>
      <c r="I61" s="2">
        <v>0</v>
      </c>
      <c r="J61" s="2" cm="1">
        <f t="array" ref="J61">_xlfn.IFS(H61=0,0,H61=1,1,H61=2,1,H61=3,2,H61=4,2)</f>
        <v>0</v>
      </c>
      <c r="O61" s="4"/>
      <c r="S61" s="4"/>
    </row>
    <row r="62" spans="1:19" ht="18.600000000000001" thickBot="1" x14ac:dyDescent="0.4">
      <c r="A62" s="6">
        <v>383</v>
      </c>
      <c r="B62" s="6" t="s">
        <v>9</v>
      </c>
      <c r="C62" s="6" t="s">
        <v>9</v>
      </c>
      <c r="H62" s="5">
        <v>1</v>
      </c>
      <c r="I62" s="5">
        <v>1</v>
      </c>
      <c r="J62" s="2" cm="1">
        <f t="array" ref="J62">_xlfn.IFS(H62=0,0,H62=1,1,H62=2,1,H62=3,2,H62=4,2)</f>
        <v>1</v>
      </c>
      <c r="O62" s="4"/>
      <c r="S62" s="4"/>
    </row>
    <row r="63" spans="1:19" ht="18.600000000000001" thickBot="1" x14ac:dyDescent="0.4">
      <c r="A63" s="6">
        <v>387</v>
      </c>
      <c r="B63" s="6" t="s">
        <v>9</v>
      </c>
      <c r="C63" s="6" t="s">
        <v>9</v>
      </c>
      <c r="H63" s="5">
        <v>0</v>
      </c>
      <c r="I63" s="5">
        <v>0</v>
      </c>
      <c r="J63" s="2" cm="1">
        <f t="array" ref="J63">_xlfn.IFS(H63=0,0,H63=1,1,H63=2,1,H63=3,2,H63=4,2)</f>
        <v>0</v>
      </c>
      <c r="O63" s="4"/>
      <c r="S63" s="4"/>
    </row>
    <row r="64" spans="1:19" ht="18.600000000000001" thickBot="1" x14ac:dyDescent="0.4">
      <c r="A64" s="6">
        <v>390</v>
      </c>
      <c r="B64" s="6" t="s">
        <v>9</v>
      </c>
      <c r="C64" s="6" t="s">
        <v>9</v>
      </c>
      <c r="H64" s="5">
        <v>0</v>
      </c>
      <c r="I64" s="5">
        <v>0</v>
      </c>
      <c r="J64" s="2" cm="1">
        <f t="array" ref="J64">_xlfn.IFS(H64=0,0,H64=1,1,H64=2,1,H64=3,2,H64=4,2)</f>
        <v>0</v>
      </c>
      <c r="O64" s="4"/>
      <c r="S64" s="4"/>
    </row>
    <row r="65" spans="1:19" ht="18.600000000000001" thickBot="1" x14ac:dyDescent="0.4">
      <c r="A65" s="6">
        <v>391</v>
      </c>
      <c r="B65" s="6" t="s">
        <v>9</v>
      </c>
      <c r="C65" s="6" t="s">
        <v>9</v>
      </c>
      <c r="H65" s="5">
        <v>0</v>
      </c>
      <c r="I65" s="5">
        <v>0</v>
      </c>
      <c r="J65" s="2" cm="1">
        <f t="array" ref="J65">_xlfn.IFS(H65=0,0,H65=1,1,H65=2,1,H65=3,2,H65=4,2)</f>
        <v>0</v>
      </c>
      <c r="O65" s="4"/>
      <c r="S65" s="4"/>
    </row>
    <row r="66" spans="1:19" ht="18.600000000000001" thickBot="1" x14ac:dyDescent="0.4">
      <c r="A66" s="6">
        <v>392</v>
      </c>
      <c r="B66" s="6" t="s">
        <v>9</v>
      </c>
      <c r="C66" s="6" t="s">
        <v>9</v>
      </c>
      <c r="H66" s="5">
        <v>0</v>
      </c>
      <c r="I66" s="5">
        <v>0</v>
      </c>
      <c r="J66" s="2" cm="1">
        <f t="array" ref="J66">_xlfn.IFS(H66=0,0,H66=1,1,H66=2,1,H66=3,2,H66=4,2)</f>
        <v>0</v>
      </c>
      <c r="O66" s="4"/>
      <c r="S66" s="4"/>
    </row>
    <row r="67" spans="1:19" ht="18.600000000000001" thickBot="1" x14ac:dyDescent="0.4">
      <c r="A67" s="6">
        <v>393</v>
      </c>
      <c r="B67" s="6" t="s">
        <v>9</v>
      </c>
      <c r="C67" s="6" t="s">
        <v>9</v>
      </c>
      <c r="H67" s="5">
        <v>0</v>
      </c>
      <c r="I67" s="5">
        <v>0</v>
      </c>
      <c r="J67" s="2" cm="1">
        <f t="array" ref="J67">_xlfn.IFS(H67=0,0,H67=1,1,H67=2,1,H67=3,2,H67=4,2)</f>
        <v>0</v>
      </c>
      <c r="O67" s="4"/>
      <c r="S67" s="4"/>
    </row>
    <row r="68" spans="1:19" ht="18.600000000000001" thickBot="1" x14ac:dyDescent="0.4">
      <c r="A68" s="6">
        <v>394</v>
      </c>
      <c r="B68" s="6" t="s">
        <v>9</v>
      </c>
      <c r="C68" s="6" t="s">
        <v>9</v>
      </c>
      <c r="H68" s="5">
        <v>3</v>
      </c>
      <c r="I68" s="5">
        <v>1</v>
      </c>
      <c r="J68" s="2" cm="1">
        <f t="array" ref="J68">_xlfn.IFS(H68=0,0,H68=1,1,H68=2,1,H68=3,2,H68=4,2)</f>
        <v>2</v>
      </c>
      <c r="O68" s="4"/>
      <c r="S68" s="4"/>
    </row>
    <row r="69" spans="1:19" ht="18.600000000000001" thickBot="1" x14ac:dyDescent="0.4">
      <c r="A69" s="6">
        <v>395</v>
      </c>
      <c r="B69" s="6" t="s">
        <v>9</v>
      </c>
      <c r="C69" s="6" t="s">
        <v>9</v>
      </c>
      <c r="H69" s="5">
        <v>1</v>
      </c>
      <c r="I69" s="5">
        <v>1</v>
      </c>
      <c r="J69" s="2" cm="1">
        <f t="array" ref="J69">_xlfn.IFS(H69=0,0,H69=1,1,H69=2,1,H69=3,2,H69=4,2)</f>
        <v>1</v>
      </c>
      <c r="O69" s="4"/>
      <c r="S69" s="4"/>
    </row>
    <row r="70" spans="1:19" ht="18.600000000000001" thickBot="1" x14ac:dyDescent="0.4">
      <c r="A70" s="6">
        <v>396</v>
      </c>
      <c r="B70" s="6" t="s">
        <v>9</v>
      </c>
      <c r="C70" s="6" t="s">
        <v>9</v>
      </c>
      <c r="H70" s="5">
        <v>4</v>
      </c>
      <c r="I70" s="5">
        <v>1</v>
      </c>
      <c r="J70" s="2" cm="1">
        <f t="array" ref="J70">_xlfn.IFS(H70=0,0,H70=1,1,H70=2,1,H70=3,2,H70=4,2)</f>
        <v>2</v>
      </c>
      <c r="O70" s="4"/>
      <c r="S70" s="4"/>
    </row>
    <row r="71" spans="1:19" ht="18.600000000000001" thickBot="1" x14ac:dyDescent="0.4">
      <c r="A71" s="6">
        <v>398</v>
      </c>
      <c r="B71" s="6" t="s">
        <v>9</v>
      </c>
      <c r="C71" s="6" t="s">
        <v>9</v>
      </c>
      <c r="H71" s="5">
        <v>3</v>
      </c>
      <c r="I71" s="5">
        <v>1</v>
      </c>
      <c r="J71" s="2" cm="1">
        <f t="array" ref="J71">_xlfn.IFS(H71=0,0,H71=1,1,H71=2,1,H71=3,2,H71=4,2)</f>
        <v>2</v>
      </c>
      <c r="O71" s="4"/>
      <c r="S71" s="4"/>
    </row>
    <row r="72" spans="1:19" ht="18.600000000000001" thickBot="1" x14ac:dyDescent="0.4">
      <c r="A72" s="6">
        <v>399</v>
      </c>
      <c r="B72" s="6" t="s">
        <v>9</v>
      </c>
      <c r="C72" s="6" t="s">
        <v>9</v>
      </c>
      <c r="H72" s="5">
        <v>4</v>
      </c>
      <c r="I72" s="5">
        <v>1</v>
      </c>
      <c r="J72" s="2" cm="1">
        <f t="array" ref="J72">_xlfn.IFS(H72=0,0,H72=1,1,H72=2,1,H72=3,2,H72=4,2)</f>
        <v>2</v>
      </c>
      <c r="O72" s="4"/>
      <c r="S72" s="4"/>
    </row>
    <row r="73" spans="1:19" ht="18.600000000000001" thickBot="1" x14ac:dyDescent="0.4">
      <c r="A73" s="6">
        <v>402</v>
      </c>
      <c r="B73" s="6" t="s">
        <v>9</v>
      </c>
      <c r="C73" s="6" t="s">
        <v>9</v>
      </c>
      <c r="H73" s="5">
        <v>4</v>
      </c>
      <c r="I73" s="5">
        <v>1</v>
      </c>
      <c r="J73" s="2" cm="1">
        <f t="array" ref="J73">_xlfn.IFS(H73=0,0,H73=1,1,H73=2,1,H73=3,2,H73=4,2)</f>
        <v>2</v>
      </c>
      <c r="O73" s="4"/>
      <c r="S73" s="4"/>
    </row>
    <row r="74" spans="1:19" ht="18.600000000000001" thickBot="1" x14ac:dyDescent="0.4">
      <c r="A74" s="6">
        <v>403</v>
      </c>
      <c r="B74" s="6" t="s">
        <v>9</v>
      </c>
      <c r="C74" s="6" t="s">
        <v>9</v>
      </c>
      <c r="H74" s="5">
        <v>2</v>
      </c>
      <c r="I74" s="5">
        <v>1</v>
      </c>
      <c r="J74" s="2" cm="1">
        <f t="array" ref="J74">_xlfn.IFS(H74=0,0,H74=1,1,H74=2,1,H74=3,2,H74=4,2)</f>
        <v>1</v>
      </c>
      <c r="O74" s="4"/>
      <c r="S74" s="4"/>
    </row>
    <row r="75" spans="1:19" ht="18.600000000000001" thickBot="1" x14ac:dyDescent="0.4">
      <c r="A75" s="6">
        <v>404</v>
      </c>
      <c r="B75" s="6" t="s">
        <v>9</v>
      </c>
      <c r="C75" s="6" t="s">
        <v>9</v>
      </c>
      <c r="H75" s="5">
        <v>1</v>
      </c>
      <c r="I75" s="5">
        <v>1</v>
      </c>
      <c r="J75" s="2" cm="1">
        <f t="array" ref="J75">_xlfn.IFS(H75=0,0,H75=1,1,H75=2,1,H75=3,2,H75=4,2)</f>
        <v>1</v>
      </c>
      <c r="O75" s="4"/>
      <c r="S75" s="4"/>
    </row>
    <row r="76" spans="1:19" ht="18.600000000000001" thickBot="1" x14ac:dyDescent="0.4">
      <c r="A76" s="6">
        <v>405</v>
      </c>
      <c r="B76" s="6" t="s">
        <v>9</v>
      </c>
      <c r="C76" s="6" t="s">
        <v>9</v>
      </c>
      <c r="H76" s="5">
        <v>1</v>
      </c>
      <c r="I76" s="5">
        <v>1</v>
      </c>
      <c r="J76" s="2" cm="1">
        <f t="array" ref="J76">_xlfn.IFS(H76=0,0,H76=1,1,H76=2,1,H76=3,2,H76=4,2)</f>
        <v>1</v>
      </c>
      <c r="O76" s="4"/>
      <c r="S76" s="4"/>
    </row>
    <row r="77" spans="1:19" ht="18.600000000000001" thickBot="1" x14ac:dyDescent="0.4">
      <c r="A77" s="6">
        <v>406</v>
      </c>
      <c r="B77" s="6" t="s">
        <v>9</v>
      </c>
      <c r="C77" s="6" t="s">
        <v>9</v>
      </c>
      <c r="H77" s="5">
        <v>0</v>
      </c>
      <c r="I77" s="5">
        <v>0</v>
      </c>
      <c r="J77" s="2" cm="1">
        <f t="array" ref="J77">_xlfn.IFS(H77=0,0,H77=1,1,H77=2,1,H77=3,2,H77=4,2)</f>
        <v>0</v>
      </c>
      <c r="O77" s="4"/>
      <c r="S77" s="4"/>
    </row>
    <row r="78" spans="1:19" ht="18.600000000000001" thickBot="1" x14ac:dyDescent="0.4">
      <c r="A78" s="6">
        <v>407</v>
      </c>
      <c r="B78" s="6" t="s">
        <v>9</v>
      </c>
      <c r="C78" s="6" t="s">
        <v>9</v>
      </c>
      <c r="H78" s="5">
        <v>4</v>
      </c>
      <c r="I78" s="5">
        <v>1</v>
      </c>
      <c r="J78" s="2" cm="1">
        <f t="array" ref="J78">_xlfn.IFS(H78=0,0,H78=1,1,H78=2,1,H78=3,2,H78=4,2)</f>
        <v>2</v>
      </c>
      <c r="O78" s="4"/>
      <c r="S78" s="4"/>
    </row>
    <row r="79" spans="1:19" ht="18.600000000000001" thickBot="1" x14ac:dyDescent="0.4">
      <c r="A79" s="6">
        <v>408</v>
      </c>
      <c r="B79" s="6" t="s">
        <v>9</v>
      </c>
      <c r="C79" s="6" t="s">
        <v>9</v>
      </c>
      <c r="H79" s="5">
        <v>2</v>
      </c>
      <c r="I79" s="5">
        <v>1</v>
      </c>
      <c r="J79" s="2" cm="1">
        <f t="array" ref="J79">_xlfn.IFS(H79=0,0,H79=1,1,H79=2,1,H79=3,2,H79=4,2)</f>
        <v>1</v>
      </c>
      <c r="O79" s="4"/>
      <c r="S79" s="4"/>
    </row>
    <row r="80" spans="1:19" ht="18.600000000000001" thickBot="1" x14ac:dyDescent="0.4">
      <c r="A80" s="6">
        <v>409</v>
      </c>
      <c r="B80" s="6" t="s">
        <v>9</v>
      </c>
      <c r="C80" s="6" t="s">
        <v>9</v>
      </c>
      <c r="H80" s="5">
        <v>0</v>
      </c>
      <c r="I80" s="5">
        <v>0</v>
      </c>
      <c r="J80" s="2" cm="1">
        <f t="array" ref="J80">_xlfn.IFS(H80=0,0,H80=1,1,H80=2,1,H80=3,2,H80=4,2)</f>
        <v>0</v>
      </c>
      <c r="O80" s="4"/>
      <c r="S80" s="4"/>
    </row>
    <row r="81" spans="1:19" ht="18.600000000000001" thickBot="1" x14ac:dyDescent="0.4">
      <c r="A81" s="6">
        <v>410</v>
      </c>
      <c r="B81" s="6" t="s">
        <v>9</v>
      </c>
      <c r="C81" s="6" t="s">
        <v>9</v>
      </c>
      <c r="H81" s="5">
        <v>0</v>
      </c>
      <c r="I81" s="5">
        <v>0</v>
      </c>
      <c r="J81" s="2" cm="1">
        <f t="array" ref="J81">_xlfn.IFS(H81=0,0,H81=1,1,H81=2,1,H81=3,2,H81=4,2)</f>
        <v>0</v>
      </c>
      <c r="O81" s="4"/>
      <c r="S81" s="4"/>
    </row>
    <row r="82" spans="1:19" x14ac:dyDescent="0.35">
      <c r="A82" s="7">
        <v>401</v>
      </c>
      <c r="H82" s="2">
        <v>1</v>
      </c>
      <c r="I82" s="2">
        <v>1</v>
      </c>
      <c r="J82" s="2" cm="1">
        <f t="array" ref="J82">_xlfn.IFS(H82=0,0,H82=1,1,H82=2,1,H82=3,2,H82=4,2)</f>
        <v>1</v>
      </c>
      <c r="O82" s="4"/>
      <c r="S82" s="4"/>
    </row>
    <row r="83" spans="1:19" x14ac:dyDescent="0.35">
      <c r="A83" s="7">
        <v>411</v>
      </c>
      <c r="H83" s="2">
        <v>0</v>
      </c>
      <c r="I83" s="2">
        <v>0</v>
      </c>
      <c r="J83" s="2" cm="1">
        <f t="array" ref="J83">_xlfn.IFS(H83=0,0,H83=1,1,H83=2,1,H83=3,2,H83=4,2)</f>
        <v>0</v>
      </c>
      <c r="O83" s="4"/>
      <c r="S83" s="4"/>
    </row>
    <row r="84" spans="1:19" x14ac:dyDescent="0.35">
      <c r="A84" s="7">
        <v>413</v>
      </c>
      <c r="H84" s="2">
        <v>4</v>
      </c>
      <c r="I84" s="2">
        <v>1</v>
      </c>
      <c r="J84" s="2" cm="1">
        <f t="array" ref="J84">_xlfn.IFS(H84=0,0,H84=1,1,H84=2,1,H84=3,2,H84=4,2)</f>
        <v>2</v>
      </c>
      <c r="O84" s="4"/>
      <c r="S84" s="4"/>
    </row>
    <row r="85" spans="1:19" x14ac:dyDescent="0.35">
      <c r="A85" s="7">
        <v>415</v>
      </c>
      <c r="H85" s="2">
        <v>0</v>
      </c>
      <c r="I85" s="2">
        <v>0</v>
      </c>
      <c r="J85" s="2" cm="1">
        <f t="array" ref="J85">_xlfn.IFS(H85=0,0,H85=1,1,H85=2,1,H85=3,2,H85=4,2)</f>
        <v>0</v>
      </c>
      <c r="O85" s="4"/>
      <c r="S85" s="4"/>
    </row>
    <row r="86" spans="1:19" x14ac:dyDescent="0.35">
      <c r="A86" s="7">
        <v>416</v>
      </c>
      <c r="H86" s="2">
        <v>4</v>
      </c>
      <c r="I86" s="2">
        <v>1</v>
      </c>
      <c r="J86" s="2" cm="1">
        <f t="array" ref="J86">_xlfn.IFS(H86=0,0,H86=1,1,H86=2,1,H86=3,2,H86=4,2)</f>
        <v>2</v>
      </c>
      <c r="O86" s="4"/>
      <c r="S86" s="4"/>
    </row>
    <row r="87" spans="1:19" x14ac:dyDescent="0.35">
      <c r="A87" s="7">
        <v>417</v>
      </c>
      <c r="H87" s="2">
        <v>1</v>
      </c>
      <c r="I87" s="2">
        <v>1</v>
      </c>
      <c r="J87" s="2" cm="1">
        <f t="array" ref="J87">_xlfn.IFS(H87=0,0,H87=1,1,H87=2,1,H87=3,2,H87=4,2)</f>
        <v>1</v>
      </c>
      <c r="O87" s="4"/>
      <c r="S87" s="4"/>
    </row>
    <row r="88" spans="1:19" x14ac:dyDescent="0.35">
      <c r="A88" s="7">
        <v>418</v>
      </c>
      <c r="H88" s="2">
        <v>4</v>
      </c>
      <c r="I88" s="2">
        <v>1</v>
      </c>
      <c r="J88" s="2" cm="1">
        <f t="array" ref="J88">_xlfn.IFS(H88=0,0,H88=1,1,H88=2,1,H88=3,2,H88=4,2)</f>
        <v>2</v>
      </c>
      <c r="O88" s="4"/>
      <c r="S88" s="4"/>
    </row>
    <row r="89" spans="1:19" x14ac:dyDescent="0.35">
      <c r="A89" s="7">
        <v>421</v>
      </c>
      <c r="H89" s="2">
        <v>0</v>
      </c>
      <c r="I89" s="2">
        <v>0</v>
      </c>
      <c r="J89" s="2" cm="1">
        <f t="array" ref="J89">_xlfn.IFS(H89=0,0,H89=1,1,H89=2,1,H89=3,2,H89=4,2)</f>
        <v>0</v>
      </c>
      <c r="O89" s="4"/>
      <c r="S89" s="4"/>
    </row>
    <row r="90" spans="1:19" x14ac:dyDescent="0.35">
      <c r="A90" s="7">
        <v>424</v>
      </c>
      <c r="H90" s="2">
        <v>4</v>
      </c>
      <c r="I90" s="2">
        <v>1</v>
      </c>
      <c r="J90" s="2" cm="1">
        <f t="array" ref="J90">_xlfn.IFS(H90=0,0,H90=1,1,H90=2,1,H90=3,2,H90=4,2)</f>
        <v>2</v>
      </c>
      <c r="O90" s="4"/>
      <c r="S90" s="4"/>
    </row>
    <row r="91" spans="1:19" x14ac:dyDescent="0.35">
      <c r="A91" s="7">
        <v>420</v>
      </c>
      <c r="H91" s="2">
        <v>0</v>
      </c>
      <c r="I91" s="2">
        <v>0</v>
      </c>
      <c r="J91" s="2" cm="1">
        <f t="array" ref="J91">_xlfn.IFS(H91=0,0,H91=1,1,H91=2,1,H91=3,2,H91=4,2)</f>
        <v>0</v>
      </c>
      <c r="O91" s="4"/>
      <c r="S91" s="4"/>
    </row>
    <row r="92" spans="1:19" x14ac:dyDescent="0.35">
      <c r="A92" s="7">
        <v>419</v>
      </c>
      <c r="H92" s="2">
        <v>1</v>
      </c>
      <c r="I92" s="2">
        <v>1</v>
      </c>
      <c r="J92" s="2" cm="1">
        <f t="array" ref="J92">_xlfn.IFS(H92=0,0,H92=1,1,H92=2,1,H92=3,2,H92=4,2)</f>
        <v>1</v>
      </c>
      <c r="O92" s="4"/>
      <c r="S92" s="4"/>
    </row>
    <row r="93" spans="1:19" x14ac:dyDescent="0.35">
      <c r="A93" s="7">
        <v>425</v>
      </c>
      <c r="H93" s="2">
        <v>4</v>
      </c>
      <c r="I93" s="2">
        <v>1</v>
      </c>
      <c r="J93" s="2" cm="1">
        <f t="array" ref="J93">_xlfn.IFS(H93=0,0,H93=1,1,H93=2,1,H93=3,2,H93=4,2)</f>
        <v>2</v>
      </c>
      <c r="O93" s="4"/>
      <c r="S93" s="4"/>
    </row>
    <row r="94" spans="1:19" x14ac:dyDescent="0.35">
      <c r="A94" s="7">
        <v>426</v>
      </c>
      <c r="H94" s="2">
        <v>3</v>
      </c>
      <c r="I94" s="2">
        <v>1</v>
      </c>
      <c r="J94" s="2" cm="1">
        <f t="array" ref="J94">_xlfn.IFS(H94=0,0,H94=1,1,H94=2,1,H94=3,2,H94=4,2)</f>
        <v>2</v>
      </c>
      <c r="O94" s="4"/>
      <c r="S94" s="4"/>
    </row>
    <row r="95" spans="1:19" x14ac:dyDescent="0.35">
      <c r="A95" s="7">
        <v>427</v>
      </c>
      <c r="H95" s="2">
        <v>4</v>
      </c>
      <c r="I95" s="2">
        <v>1</v>
      </c>
      <c r="J95" s="2" cm="1">
        <f t="array" ref="J95">_xlfn.IFS(H95=0,0,H95=1,1,H95=2,1,H95=3,2,H95=4,2)</f>
        <v>2</v>
      </c>
      <c r="O95" s="4"/>
      <c r="S95" s="4"/>
    </row>
    <row r="96" spans="1:19" x14ac:dyDescent="0.35">
      <c r="A96" s="7">
        <v>428</v>
      </c>
      <c r="H96" s="2">
        <v>0</v>
      </c>
      <c r="I96" s="2">
        <v>0</v>
      </c>
      <c r="J96" s="2" cm="1">
        <f t="array" ref="J96">_xlfn.IFS(H96=0,0,H96=1,1,H96=2,1,H96=3,2,H96=4,2)</f>
        <v>0</v>
      </c>
      <c r="O96" s="4"/>
      <c r="S96" s="4"/>
    </row>
    <row r="97" spans="1:19" x14ac:dyDescent="0.35">
      <c r="A97" s="7">
        <v>432</v>
      </c>
      <c r="H97" s="2">
        <v>0</v>
      </c>
      <c r="I97" s="2">
        <v>0</v>
      </c>
      <c r="J97" s="2" cm="1">
        <f t="array" ref="J97">_xlfn.IFS(H97=0,0,H97=1,1,H97=2,1,H97=3,2,H97=4,2)</f>
        <v>0</v>
      </c>
      <c r="O97" s="4"/>
      <c r="S97" s="4"/>
    </row>
    <row r="98" spans="1:19" x14ac:dyDescent="0.35">
      <c r="A98" s="7">
        <v>429</v>
      </c>
      <c r="H98" s="2">
        <v>4</v>
      </c>
      <c r="I98" s="2">
        <v>1</v>
      </c>
      <c r="J98" s="2" cm="1">
        <f t="array" ref="J98">_xlfn.IFS(H98=0,0,H98=1,1,H98=2,1,H98=3,2,H98=4,2)</f>
        <v>2</v>
      </c>
      <c r="O98" s="4"/>
      <c r="S98" s="4"/>
    </row>
    <row r="99" spans="1:19" x14ac:dyDescent="0.35">
      <c r="A99" s="7">
        <v>430</v>
      </c>
      <c r="H99" s="2">
        <v>1</v>
      </c>
      <c r="I99" s="2">
        <v>1</v>
      </c>
      <c r="J99" s="2" cm="1">
        <f t="array" ref="J99">_xlfn.IFS(H99=0,0,H99=1,1,H99=2,1,H99=3,2,H99=4,2)</f>
        <v>1</v>
      </c>
      <c r="O99" s="4"/>
      <c r="S99" s="4"/>
    </row>
    <row r="100" spans="1:19" x14ac:dyDescent="0.35">
      <c r="A100" s="7">
        <v>433</v>
      </c>
      <c r="H100" s="2">
        <v>0</v>
      </c>
      <c r="I100" s="2">
        <v>0</v>
      </c>
      <c r="J100" s="2" cm="1">
        <f t="array" ref="J100">_xlfn.IFS(H100=0,0,H100=1,1,H100=2,1,H100=3,2,H100=4,2)</f>
        <v>0</v>
      </c>
      <c r="O100" s="4"/>
      <c r="S100" s="4"/>
    </row>
    <row r="101" spans="1:19" x14ac:dyDescent="0.35">
      <c r="A101" s="7">
        <v>431</v>
      </c>
      <c r="H101" s="2">
        <v>4</v>
      </c>
      <c r="I101" s="2">
        <v>1</v>
      </c>
      <c r="J101" s="2" cm="1">
        <f t="array" ref="J101">_xlfn.IFS(H101=0,0,H101=1,1,H101=2,1,H101=3,2,H101=4,2)</f>
        <v>2</v>
      </c>
      <c r="O101" s="4"/>
      <c r="S101" s="4"/>
    </row>
    <row r="102" spans="1:19" x14ac:dyDescent="0.35">
      <c r="A102" s="7">
        <v>435</v>
      </c>
      <c r="H102" s="2">
        <v>4</v>
      </c>
      <c r="I102" s="2">
        <v>1</v>
      </c>
      <c r="J102" s="2" cm="1">
        <f t="array" ref="J102">_xlfn.IFS(H102=0,0,H102=1,1,H102=2,1,H102=3,2,H102=4,2)</f>
        <v>2</v>
      </c>
      <c r="O102" s="4"/>
      <c r="S102" s="4"/>
    </row>
    <row r="103" spans="1:19" x14ac:dyDescent="0.35">
      <c r="A103" s="7">
        <v>438</v>
      </c>
      <c r="H103" s="2">
        <v>2</v>
      </c>
      <c r="I103" s="2">
        <v>1</v>
      </c>
      <c r="J103" s="2" cm="1">
        <f t="array" ref="J103">_xlfn.IFS(H103=0,0,H103=1,1,H103=2,1,H103=3,2,H103=4,2)</f>
        <v>1</v>
      </c>
      <c r="O103" s="4"/>
      <c r="S103" s="4"/>
    </row>
    <row r="104" spans="1:19" x14ac:dyDescent="0.35">
      <c r="A104" s="7">
        <v>191</v>
      </c>
      <c r="H104" s="2">
        <v>4</v>
      </c>
      <c r="I104" s="2">
        <v>1</v>
      </c>
      <c r="J104" s="2" cm="1">
        <f t="array" ref="J104">_xlfn.IFS(H104=0,0,H104=1,1,H104=2,1,H104=3,2,H104=4,2)</f>
        <v>2</v>
      </c>
      <c r="O104" s="4"/>
      <c r="S104" s="4"/>
    </row>
    <row r="105" spans="1:19" x14ac:dyDescent="0.35">
      <c r="A105" s="7">
        <v>434</v>
      </c>
      <c r="H105" s="2">
        <v>1</v>
      </c>
      <c r="I105" s="2">
        <v>1</v>
      </c>
      <c r="J105" s="2" cm="1">
        <f t="array" ref="J105">_xlfn.IFS(H105=0,0,H105=1,1,H105=2,1,H105=3,2,H105=4,2)</f>
        <v>1</v>
      </c>
      <c r="O105" s="4"/>
      <c r="S105" s="4"/>
    </row>
    <row r="106" spans="1:19" x14ac:dyDescent="0.35">
      <c r="A106" s="7">
        <v>440</v>
      </c>
      <c r="H106" s="2">
        <v>4</v>
      </c>
      <c r="I106" s="2">
        <v>1</v>
      </c>
      <c r="J106" s="2" cm="1">
        <f t="array" ref="J106">_xlfn.IFS(H106=0,0,H106=1,1,H106=2,1,H106=3,2,H106=4,2)</f>
        <v>2</v>
      </c>
      <c r="O106" s="4"/>
      <c r="S106" s="4"/>
    </row>
    <row r="107" spans="1:19" x14ac:dyDescent="0.35">
      <c r="A107" s="7">
        <v>439</v>
      </c>
      <c r="H107" s="2">
        <v>1</v>
      </c>
      <c r="I107" s="2">
        <v>1</v>
      </c>
      <c r="J107" s="2" cm="1">
        <f t="array" ref="J107">_xlfn.IFS(H107=0,0,H107=1,1,H107=2,1,H107=3,2,H107=4,2)</f>
        <v>1</v>
      </c>
      <c r="O107" s="4"/>
      <c r="S107" s="4"/>
    </row>
    <row r="108" spans="1:19" x14ac:dyDescent="0.35">
      <c r="A108" s="7">
        <v>437</v>
      </c>
      <c r="H108" s="2">
        <v>2</v>
      </c>
      <c r="I108" s="2">
        <v>1</v>
      </c>
      <c r="J108" s="2" cm="1">
        <f t="array" ref="J108">_xlfn.IFS(H108=0,0,H108=1,1,H108=2,1,H108=3,2,H108=4,2)</f>
        <v>1</v>
      </c>
      <c r="O108" s="4"/>
      <c r="S108" s="4"/>
    </row>
    <row r="109" spans="1:19" x14ac:dyDescent="0.35">
      <c r="A109" s="7">
        <v>441</v>
      </c>
      <c r="H109" s="2">
        <v>0</v>
      </c>
      <c r="I109" s="2">
        <v>0</v>
      </c>
      <c r="J109" s="2" cm="1">
        <f t="array" ref="J109">_xlfn.IFS(H109=0,0,H109=1,1,H109=2,1,H109=3,2,H109=4,2)</f>
        <v>0</v>
      </c>
      <c r="O109" s="4"/>
      <c r="S109" s="4"/>
    </row>
    <row r="110" spans="1:19" x14ac:dyDescent="0.35">
      <c r="A110" s="7">
        <v>436</v>
      </c>
      <c r="H110" s="2">
        <v>2</v>
      </c>
      <c r="I110" s="2">
        <v>1</v>
      </c>
      <c r="J110" s="2" cm="1">
        <f t="array" ref="J110">_xlfn.IFS(H110=0,0,H110=1,1,H110=2,1,H110=3,2,H110=4,2)</f>
        <v>1</v>
      </c>
      <c r="O110" s="4"/>
      <c r="S110" s="4"/>
    </row>
    <row r="111" spans="1:19" x14ac:dyDescent="0.35">
      <c r="A111" s="7">
        <v>445</v>
      </c>
      <c r="H111" s="2">
        <v>0</v>
      </c>
      <c r="I111" s="2">
        <v>0</v>
      </c>
      <c r="J111" s="2" cm="1">
        <f t="array" ref="J111">_xlfn.IFS(H111=0,0,H111=1,1,H111=2,1,H111=3,2,H111=4,2)</f>
        <v>0</v>
      </c>
      <c r="O111" s="4"/>
      <c r="S111" s="4"/>
    </row>
    <row r="112" spans="1:19" x14ac:dyDescent="0.35">
      <c r="A112" s="7">
        <v>444</v>
      </c>
      <c r="H112" s="2">
        <v>4</v>
      </c>
      <c r="I112" s="2">
        <v>1</v>
      </c>
      <c r="J112" s="2" cm="1">
        <f t="array" ref="J112">_xlfn.IFS(H112=0,0,H112=1,1,H112=2,1,H112=3,2,H112=4,2)</f>
        <v>2</v>
      </c>
      <c r="O112" s="4"/>
      <c r="S112" s="4"/>
    </row>
    <row r="113" spans="1:19" x14ac:dyDescent="0.35">
      <c r="A113" s="7">
        <v>442</v>
      </c>
      <c r="H113" s="2">
        <v>1</v>
      </c>
      <c r="I113" s="2">
        <v>1</v>
      </c>
      <c r="J113" s="2" cm="1">
        <f t="array" ref="J113">_xlfn.IFS(H113=0,0,H113=1,1,H113=2,1,H113=3,2,H113=4,2)</f>
        <v>1</v>
      </c>
      <c r="O113" s="4"/>
      <c r="S113" s="4"/>
    </row>
    <row r="114" spans="1:19" x14ac:dyDescent="0.35">
      <c r="A114" s="7">
        <v>443</v>
      </c>
      <c r="H114" s="2">
        <v>4</v>
      </c>
      <c r="I114" s="2">
        <v>1</v>
      </c>
      <c r="J114" s="2" cm="1">
        <f t="array" ref="J114">_xlfn.IFS(H114=0,0,H114=1,1,H114=2,1,H114=3,2,H114=4,2)</f>
        <v>2</v>
      </c>
      <c r="O114" s="4"/>
      <c r="S114" s="4"/>
    </row>
    <row r="115" spans="1:19" x14ac:dyDescent="0.35">
      <c r="A115" s="7">
        <v>448</v>
      </c>
      <c r="H115" s="2">
        <v>3</v>
      </c>
      <c r="I115" s="2">
        <v>1</v>
      </c>
      <c r="J115" s="2" cm="1">
        <f t="array" ref="J115">_xlfn.IFS(H115=0,0,H115=1,1,H115=2,1,H115=3,2,H115=4,2)</f>
        <v>2</v>
      </c>
      <c r="O115" s="4"/>
      <c r="S115" s="4"/>
    </row>
    <row r="116" spans="1:19" x14ac:dyDescent="0.35">
      <c r="A116" s="7">
        <v>446</v>
      </c>
      <c r="H116" s="2">
        <v>4</v>
      </c>
      <c r="I116" s="2">
        <v>1</v>
      </c>
      <c r="J116" s="2" cm="1">
        <f t="array" ref="J116">_xlfn.IFS(H116=0,0,H116=1,1,H116=2,1,H116=3,2,H116=4,2)</f>
        <v>2</v>
      </c>
      <c r="O116" s="4"/>
      <c r="S116" s="4"/>
    </row>
    <row r="117" spans="1:19" x14ac:dyDescent="0.35">
      <c r="A117" s="7">
        <v>450</v>
      </c>
      <c r="H117" s="2">
        <v>2</v>
      </c>
      <c r="I117" s="2">
        <v>1</v>
      </c>
      <c r="J117" s="2" cm="1">
        <f t="array" ref="J117">_xlfn.IFS(H117=0,0,H117=1,1,H117=2,1,H117=3,2,H117=4,2)</f>
        <v>1</v>
      </c>
      <c r="O117" s="4"/>
      <c r="S117" s="4"/>
    </row>
    <row r="118" spans="1:19" x14ac:dyDescent="0.35">
      <c r="A118" s="7">
        <v>449</v>
      </c>
      <c r="H118" s="2">
        <v>1</v>
      </c>
      <c r="I118" s="2">
        <v>1</v>
      </c>
      <c r="J118" s="2" cm="1">
        <f t="array" ref="J118">_xlfn.IFS(H118=0,0,H118=1,1,H118=2,1,H118=3,2,H118=4,2)</f>
        <v>1</v>
      </c>
      <c r="O118" s="4"/>
      <c r="S118" s="4"/>
    </row>
    <row r="119" spans="1:19" x14ac:dyDescent="0.35">
      <c r="A119" s="7">
        <v>451</v>
      </c>
      <c r="H119" s="2">
        <v>1</v>
      </c>
      <c r="I119" s="2">
        <v>1</v>
      </c>
      <c r="J119" s="2" cm="1">
        <f t="array" ref="J119">_xlfn.IFS(H119=0,0,H119=1,1,H119=2,1,H119=3,2,H119=4,2)</f>
        <v>1</v>
      </c>
      <c r="O119" s="4"/>
      <c r="S119" s="4"/>
    </row>
    <row r="120" spans="1:19" x14ac:dyDescent="0.35">
      <c r="A120" s="7">
        <v>452</v>
      </c>
      <c r="H120" s="2">
        <v>4</v>
      </c>
      <c r="I120" s="2">
        <v>1</v>
      </c>
      <c r="J120" s="2" cm="1">
        <f t="array" ref="J120">_xlfn.IFS(H120=0,0,H120=1,1,H120=2,1,H120=3,2,H120=4,2)</f>
        <v>2</v>
      </c>
      <c r="O120" s="4"/>
      <c r="S120" s="4"/>
    </row>
    <row r="121" spans="1:19" x14ac:dyDescent="0.35">
      <c r="A121" s="7">
        <v>454</v>
      </c>
      <c r="H121" s="2">
        <v>0</v>
      </c>
      <c r="I121" s="2">
        <v>0</v>
      </c>
      <c r="J121" s="2" cm="1">
        <f t="array" ref="J121">_xlfn.IFS(H121=0,0,H121=1,1,H121=2,1,H121=3,2,H121=4,2)</f>
        <v>0</v>
      </c>
      <c r="O121" s="4"/>
      <c r="S121" s="4"/>
    </row>
    <row r="122" spans="1:19" x14ac:dyDescent="0.35">
      <c r="A122" s="7">
        <v>456</v>
      </c>
      <c r="H122" s="2">
        <v>4</v>
      </c>
      <c r="I122" s="2">
        <v>1</v>
      </c>
      <c r="J122" s="2" cm="1">
        <f t="array" ref="J122">_xlfn.IFS(H122=0,0,H122=1,1,H122=2,1,H122=3,2,H122=4,2)</f>
        <v>2</v>
      </c>
      <c r="O122" s="4"/>
      <c r="S122" s="4"/>
    </row>
    <row r="123" spans="1:19" x14ac:dyDescent="0.35">
      <c r="A123" s="7">
        <v>455</v>
      </c>
      <c r="H123" s="2">
        <v>4</v>
      </c>
      <c r="I123" s="2">
        <v>1</v>
      </c>
      <c r="J123" s="2" cm="1">
        <f t="array" ref="J123">_xlfn.IFS(H123=0,0,H123=1,1,H123=2,1,H123=3,2,H123=4,2)</f>
        <v>2</v>
      </c>
      <c r="O123" s="4"/>
      <c r="S123" s="4"/>
    </row>
    <row r="124" spans="1:19" x14ac:dyDescent="0.35">
      <c r="A124" s="7">
        <v>458</v>
      </c>
      <c r="H124" s="2">
        <v>4</v>
      </c>
      <c r="I124" s="2">
        <v>1</v>
      </c>
      <c r="J124" s="2" cm="1">
        <f t="array" ref="J124">_xlfn.IFS(H124=0,0,H124=1,1,H124=2,1,H124=3,2,H124=4,2)</f>
        <v>2</v>
      </c>
      <c r="O124" s="4"/>
      <c r="S124" s="4"/>
    </row>
    <row r="125" spans="1:19" x14ac:dyDescent="0.35">
      <c r="A125" s="7">
        <v>459</v>
      </c>
      <c r="H125" s="2">
        <v>1</v>
      </c>
      <c r="I125" s="2">
        <v>1</v>
      </c>
      <c r="J125" s="2" cm="1">
        <f t="array" ref="J125">_xlfn.IFS(H125=0,0,H125=1,1,H125=2,1,H125=3,2,H125=4,2)</f>
        <v>1</v>
      </c>
      <c r="O125" s="4"/>
      <c r="S125" s="4"/>
    </row>
    <row r="126" spans="1:19" x14ac:dyDescent="0.35">
      <c r="A126" s="7">
        <v>465</v>
      </c>
      <c r="H126" s="2">
        <v>0</v>
      </c>
      <c r="I126" s="2">
        <v>0</v>
      </c>
      <c r="J126" s="2" cm="1">
        <f t="array" ref="J126">_xlfn.IFS(H126=0,0,H126=1,1,H126=2,1,H126=3,2,H126=4,2)</f>
        <v>0</v>
      </c>
      <c r="O126" s="4"/>
      <c r="S126" s="4"/>
    </row>
    <row r="127" spans="1:19" x14ac:dyDescent="0.35">
      <c r="A127" s="7">
        <v>468</v>
      </c>
      <c r="H127" s="2">
        <v>0</v>
      </c>
      <c r="I127" s="2">
        <v>0</v>
      </c>
      <c r="J127" s="2" cm="1">
        <f t="array" ref="J127">_xlfn.IFS(H127=0,0,H127=1,1,H127=2,1,H127=3,2,H127=4,2)</f>
        <v>0</v>
      </c>
      <c r="O127" s="4"/>
      <c r="S127" s="4"/>
    </row>
    <row r="128" spans="1:19" x14ac:dyDescent="0.35">
      <c r="A128" s="7">
        <v>462</v>
      </c>
      <c r="H128" s="2">
        <v>4</v>
      </c>
      <c r="I128" s="2">
        <v>1</v>
      </c>
      <c r="J128" s="2" cm="1">
        <f t="array" ref="J128">_xlfn.IFS(H128=0,0,H128=1,1,H128=2,1,H128=3,2,H128=4,2)</f>
        <v>2</v>
      </c>
      <c r="O128" s="4"/>
      <c r="S128" s="4"/>
    </row>
    <row r="129" spans="1:19" x14ac:dyDescent="0.35">
      <c r="A129" s="7">
        <v>471</v>
      </c>
      <c r="H129" s="2">
        <v>0</v>
      </c>
      <c r="I129" s="2">
        <v>0</v>
      </c>
      <c r="J129" s="2" cm="1">
        <f t="array" ref="J129">_xlfn.IFS(H129=0,0,H129=1,1,H129=2,1,H129=3,2,H129=4,2)</f>
        <v>0</v>
      </c>
      <c r="O129" s="4"/>
      <c r="S129" s="4"/>
    </row>
    <row r="130" spans="1:19" x14ac:dyDescent="0.35">
      <c r="A130" s="7">
        <v>473</v>
      </c>
      <c r="H130" s="2">
        <v>0</v>
      </c>
      <c r="I130" s="2">
        <v>0</v>
      </c>
      <c r="J130" s="2" cm="1">
        <f t="array" ref="J130">_xlfn.IFS(H130=0,0,H130=1,1,H130=2,1,H130=3,2,H130=4,2)</f>
        <v>0</v>
      </c>
      <c r="O130" s="4"/>
      <c r="S130" s="4"/>
    </row>
    <row r="131" spans="1:19" x14ac:dyDescent="0.35">
      <c r="A131" s="7">
        <v>474</v>
      </c>
      <c r="H131" s="2">
        <v>1</v>
      </c>
      <c r="I131" s="2">
        <v>1</v>
      </c>
      <c r="J131" s="2" cm="1">
        <f t="array" ref="J131">_xlfn.IFS(H131=0,0,H131=1,1,H131=2,1,H131=3,2,H131=4,2)</f>
        <v>1</v>
      </c>
      <c r="O131" s="4"/>
      <c r="S131" s="4"/>
    </row>
    <row r="132" spans="1:19" x14ac:dyDescent="0.35">
      <c r="A132" s="7">
        <v>472</v>
      </c>
      <c r="H132" s="2">
        <v>0</v>
      </c>
      <c r="I132" s="2">
        <v>0</v>
      </c>
      <c r="J132" s="2" cm="1">
        <f t="array" ref="J132">_xlfn.IFS(H132=0,0,H132=1,1,H132=2,1,H132=3,2,H132=4,2)</f>
        <v>0</v>
      </c>
      <c r="O132" s="4"/>
      <c r="S132" s="4"/>
    </row>
    <row r="133" spans="1:19" x14ac:dyDescent="0.35">
      <c r="A133" s="7">
        <v>478</v>
      </c>
      <c r="H133" s="2">
        <v>1</v>
      </c>
      <c r="I133" s="2">
        <v>1</v>
      </c>
      <c r="J133" s="2" cm="1">
        <f t="array" ref="J133">_xlfn.IFS(H133=0,0,H133=1,1,H133=2,1,H133=3,2,H133=4,2)</f>
        <v>1</v>
      </c>
      <c r="O133" s="4"/>
      <c r="S133" s="4"/>
    </row>
    <row r="134" spans="1:19" x14ac:dyDescent="0.35">
      <c r="A134" s="7">
        <v>479</v>
      </c>
      <c r="H134" s="2">
        <v>0</v>
      </c>
      <c r="I134" s="2">
        <v>0</v>
      </c>
      <c r="J134" s="2" cm="1">
        <f t="array" ref="J134">_xlfn.IFS(H134=0,0,H134=1,1,H134=2,1,H134=3,2,H134=4,2)</f>
        <v>0</v>
      </c>
      <c r="O134" s="4"/>
      <c r="S134" s="4"/>
    </row>
    <row r="135" spans="1:19" x14ac:dyDescent="0.35">
      <c r="A135" s="7">
        <v>482</v>
      </c>
      <c r="H135" s="2">
        <v>4</v>
      </c>
      <c r="I135" s="2">
        <v>1</v>
      </c>
      <c r="J135" s="2" cm="1">
        <f t="array" ref="J135">_xlfn.IFS(H135=0,0,H135=1,1,H135=2,1,H135=3,2,H135=4,2)</f>
        <v>2</v>
      </c>
      <c r="O135" s="4"/>
      <c r="S135" s="4"/>
    </row>
    <row r="136" spans="1:19" x14ac:dyDescent="0.35">
      <c r="A136" s="7">
        <v>485</v>
      </c>
      <c r="H136" s="2">
        <v>4</v>
      </c>
      <c r="I136" s="2">
        <v>1</v>
      </c>
      <c r="J136" s="2" cm="1">
        <f t="array" ref="J136">_xlfn.IFS(H136=0,0,H136=1,1,H136=2,1,H136=3,2,H136=4,2)</f>
        <v>2</v>
      </c>
      <c r="O136" s="4"/>
      <c r="S136" s="4"/>
    </row>
    <row r="137" spans="1:19" x14ac:dyDescent="0.35">
      <c r="A137" s="7">
        <v>491</v>
      </c>
      <c r="H137" s="2">
        <v>0</v>
      </c>
      <c r="I137" s="2">
        <v>0</v>
      </c>
      <c r="J137" s="2" cm="1">
        <f t="array" ref="J137">_xlfn.IFS(H137=0,0,H137=1,1,H137=2,1,H137=3,2,H137=4,2)</f>
        <v>0</v>
      </c>
      <c r="O137" s="4"/>
      <c r="S137" s="4"/>
    </row>
    <row r="138" spans="1:19" x14ac:dyDescent="0.35">
      <c r="A138" s="7">
        <v>483</v>
      </c>
      <c r="H138" s="2">
        <v>1</v>
      </c>
      <c r="I138" s="2">
        <v>1</v>
      </c>
      <c r="J138" s="2" cm="1">
        <f t="array" ref="J138">_xlfn.IFS(H138=0,0,H138=1,1,H138=2,1,H138=3,2,H138=4,2)</f>
        <v>1</v>
      </c>
      <c r="O138" s="4"/>
      <c r="S138" s="4"/>
    </row>
    <row r="139" spans="1:19" x14ac:dyDescent="0.35">
      <c r="A139" s="7">
        <v>484</v>
      </c>
      <c r="H139" s="2">
        <v>2</v>
      </c>
      <c r="I139" s="2">
        <v>1</v>
      </c>
      <c r="J139" s="2" cm="1">
        <f t="array" ref="J139">_xlfn.IFS(H139=0,0,H139=1,1,H139=2,1,H139=3,2,H139=4,2)</f>
        <v>1</v>
      </c>
      <c r="O139" s="4"/>
      <c r="S139" s="4"/>
    </row>
    <row r="140" spans="1:19" x14ac:dyDescent="0.35">
      <c r="A140" s="7">
        <v>487</v>
      </c>
      <c r="H140" s="2">
        <v>1</v>
      </c>
      <c r="I140" s="2">
        <v>1</v>
      </c>
      <c r="J140" s="2" cm="1">
        <f t="array" ref="J140">_xlfn.IFS(H140=0,0,H140=1,1,H140=2,1,H140=3,2,H140=4,2)</f>
        <v>1</v>
      </c>
      <c r="O140" s="4"/>
      <c r="S140" s="4"/>
    </row>
    <row r="141" spans="1:19" x14ac:dyDescent="0.35">
      <c r="A141" s="7">
        <v>477</v>
      </c>
      <c r="H141" s="2">
        <v>0</v>
      </c>
      <c r="I141" s="2">
        <v>0</v>
      </c>
      <c r="J141" s="2" cm="1">
        <f t="array" ref="J141">_xlfn.IFS(H141=0,0,H141=1,1,H141=2,1,H141=3,2,H141=4,2)</f>
        <v>0</v>
      </c>
      <c r="O141" s="4"/>
      <c r="S141" s="4"/>
    </row>
    <row r="142" spans="1:19" x14ac:dyDescent="0.35">
      <c r="A142" s="7">
        <v>489</v>
      </c>
      <c r="H142" s="2">
        <v>0</v>
      </c>
      <c r="I142" s="2">
        <v>0</v>
      </c>
      <c r="J142" s="2" cm="1">
        <f t="array" ref="J142">_xlfn.IFS(H142=0,0,H142=1,1,H142=2,1,H142=3,2,H142=4,2)</f>
        <v>0</v>
      </c>
    </row>
    <row r="143" spans="1:19" x14ac:dyDescent="0.35">
      <c r="A143" s="7">
        <v>488</v>
      </c>
      <c r="H143" s="2">
        <v>0</v>
      </c>
      <c r="I143" s="2">
        <v>0</v>
      </c>
      <c r="J143" s="2" cm="1">
        <f t="array" ref="J143">_xlfn.IFS(H143=0,0,H143=1,1,H143=2,1,H143=3,2,H143=4,2)</f>
        <v>0</v>
      </c>
    </row>
    <row r="144" spans="1:19" x14ac:dyDescent="0.35">
      <c r="A144" s="7">
        <v>493</v>
      </c>
      <c r="H144" s="2">
        <v>0</v>
      </c>
      <c r="I144" s="2">
        <v>0</v>
      </c>
      <c r="J144" s="2" cm="1">
        <f t="array" ref="J144">_xlfn.IFS(H144=0,0,H144=1,1,H144=2,1,H144=3,2,H144=4,2)</f>
        <v>0</v>
      </c>
    </row>
    <row r="145" spans="1:10" x14ac:dyDescent="0.35">
      <c r="A145" s="7">
        <v>490</v>
      </c>
      <c r="H145" s="2">
        <v>3</v>
      </c>
      <c r="I145" s="2">
        <v>1</v>
      </c>
      <c r="J145" s="2" cm="1">
        <f t="array" ref="J145">_xlfn.IFS(H145=0,0,H145=1,1,H145=2,1,H145=3,2,H145=4,2)</f>
        <v>2</v>
      </c>
    </row>
    <row r="146" spans="1:10" x14ac:dyDescent="0.35">
      <c r="A146" s="7">
        <v>494</v>
      </c>
      <c r="H146" s="2">
        <v>0</v>
      </c>
      <c r="I146" s="2">
        <v>0</v>
      </c>
      <c r="J146" s="2" cm="1">
        <f t="array" ref="J146">_xlfn.IFS(H146=0,0,H146=1,1,H146=2,1,H146=3,2,H146=4,2)</f>
        <v>0</v>
      </c>
    </row>
    <row r="147" spans="1:10" x14ac:dyDescent="0.35">
      <c r="A147" s="7">
        <v>498</v>
      </c>
      <c r="H147" s="2">
        <v>0</v>
      </c>
      <c r="I147" s="2">
        <v>0</v>
      </c>
      <c r="J147" s="2" cm="1">
        <f t="array" ref="J147">_xlfn.IFS(H147=0,0,H147=1,1,H147=2,1,H147=3,2,H147=4,2)</f>
        <v>0</v>
      </c>
    </row>
    <row r="148" spans="1:10" x14ac:dyDescent="0.35">
      <c r="A148" s="7">
        <v>499</v>
      </c>
      <c r="H148" s="2">
        <v>2</v>
      </c>
      <c r="I148" s="2">
        <v>1</v>
      </c>
      <c r="J148" s="2" cm="1">
        <f t="array" ref="J148">_xlfn.IFS(H148=0,0,H148=1,1,H148=2,1,H148=3,2,H148=4,2)</f>
        <v>1</v>
      </c>
    </row>
    <row r="149" spans="1:10" x14ac:dyDescent="0.35">
      <c r="A149" s="7">
        <v>501</v>
      </c>
      <c r="H149" s="2">
        <v>0</v>
      </c>
      <c r="I149" s="2">
        <v>0</v>
      </c>
      <c r="J149" s="2" cm="1">
        <f t="array" ref="J149">_xlfn.IFS(H149=0,0,H149=1,1,H149=2,1,H149=3,2,H149=4,2)</f>
        <v>0</v>
      </c>
    </row>
    <row r="150" spans="1:10" x14ac:dyDescent="0.35">
      <c r="A150" s="7">
        <v>502</v>
      </c>
      <c r="H150" s="2">
        <v>0</v>
      </c>
      <c r="I150" s="2">
        <v>0</v>
      </c>
      <c r="J150" s="2" cm="1">
        <f t="array" ref="J150">_xlfn.IFS(H150=0,0,H150=1,1,H150=2,1,H150=3,2,H150=4,2)</f>
        <v>0</v>
      </c>
    </row>
    <row r="151" spans="1:10" x14ac:dyDescent="0.35">
      <c r="A151" s="7">
        <v>500</v>
      </c>
      <c r="H151" s="2">
        <v>1</v>
      </c>
      <c r="I151" s="2">
        <v>1</v>
      </c>
      <c r="J151" s="2" cm="1">
        <f t="array" ref="J151">_xlfn.IFS(H151=0,0,H151=1,1,H151=2,1,H151=3,2,H151=4,2)</f>
        <v>1</v>
      </c>
    </row>
    <row r="152" spans="1:10" x14ac:dyDescent="0.35">
      <c r="A152" s="7">
        <v>505</v>
      </c>
      <c r="H152" s="2">
        <v>3</v>
      </c>
      <c r="I152" s="2">
        <v>1</v>
      </c>
      <c r="J152" s="2" cm="1">
        <f t="array" ref="J152">_xlfn.IFS(H152=0,0,H152=1,1,H152=2,1,H152=3,2,H152=4,2)</f>
        <v>2</v>
      </c>
    </row>
    <row r="153" spans="1:10" x14ac:dyDescent="0.35">
      <c r="A153" s="7">
        <v>418</v>
      </c>
      <c r="H153" s="2">
        <v>4</v>
      </c>
      <c r="I153" s="2">
        <v>1</v>
      </c>
      <c r="J153" s="2" cm="1">
        <f t="array" ref="J153">_xlfn.IFS(H153=0,0,H153=1,1,H153=2,1,H153=3,2,H153=4,2)</f>
        <v>2</v>
      </c>
    </row>
    <row r="154" spans="1:10" x14ac:dyDescent="0.35">
      <c r="A154" s="7">
        <v>506</v>
      </c>
      <c r="H154" s="2">
        <v>3</v>
      </c>
      <c r="I154" s="2">
        <v>1</v>
      </c>
      <c r="J154" s="2" cm="1">
        <f t="array" ref="J154">_xlfn.IFS(H154=0,0,H154=1,1,H154=2,1,H154=3,2,H154=4,2)</f>
        <v>2</v>
      </c>
    </row>
    <row r="155" spans="1:10" x14ac:dyDescent="0.35">
      <c r="A155" s="7">
        <v>508</v>
      </c>
      <c r="H155" s="2">
        <v>0</v>
      </c>
      <c r="I155" s="2">
        <v>0</v>
      </c>
      <c r="J155" s="2" cm="1">
        <f t="array" ref="J155">_xlfn.IFS(H155=0,0,H155=1,1,H155=2,1,H155=3,2,H155=4,2)</f>
        <v>0</v>
      </c>
    </row>
    <row r="156" spans="1:10" x14ac:dyDescent="0.35">
      <c r="A156" s="7">
        <v>510</v>
      </c>
      <c r="H156" s="2">
        <v>1</v>
      </c>
      <c r="I156" s="2">
        <v>1</v>
      </c>
      <c r="J156" s="2" cm="1">
        <f t="array" ref="J156">_xlfn.IFS(H156=0,0,H156=1,1,H156=2,1,H156=3,2,H156=4,2)</f>
        <v>1</v>
      </c>
    </row>
    <row r="157" spans="1:10" x14ac:dyDescent="0.35">
      <c r="A157" s="7">
        <v>515</v>
      </c>
      <c r="H157" s="2">
        <v>3</v>
      </c>
      <c r="I157" s="2">
        <v>1</v>
      </c>
      <c r="J157" s="2" cm="1">
        <f t="array" ref="J157">_xlfn.IFS(H157=0,0,H157=1,1,H157=2,1,H157=3,2,H157=4,2)</f>
        <v>2</v>
      </c>
    </row>
    <row r="158" spans="1:10" x14ac:dyDescent="0.35">
      <c r="A158" s="7">
        <v>509</v>
      </c>
      <c r="H158" s="2">
        <v>2</v>
      </c>
      <c r="I158" s="2">
        <v>1</v>
      </c>
      <c r="J158" s="2" cm="1">
        <f t="array" ref="J158">_xlfn.IFS(H158=0,0,H158=1,1,H158=2,1,H158=3,2,H158=4,2)</f>
        <v>1</v>
      </c>
    </row>
    <row r="159" spans="1:10" x14ac:dyDescent="0.35">
      <c r="A159" s="7">
        <v>511</v>
      </c>
      <c r="H159" s="2">
        <v>3</v>
      </c>
      <c r="I159" s="2">
        <v>1</v>
      </c>
      <c r="J159" s="2" cm="1">
        <f t="array" ref="J159">_xlfn.IFS(H159=0,0,H159=1,1,H159=2,1,H159=3,2,H159=4,2)</f>
        <v>2</v>
      </c>
    </row>
    <row r="160" spans="1:10" x14ac:dyDescent="0.35">
      <c r="A160" s="7">
        <v>512</v>
      </c>
      <c r="H160" s="2">
        <v>0</v>
      </c>
      <c r="I160" s="2">
        <v>0</v>
      </c>
      <c r="J160" s="2" cm="1">
        <f t="array" ref="J160">_xlfn.IFS(H160=0,0,H160=1,1,H160=2,1,H160=3,2,H160=4,2)</f>
        <v>0</v>
      </c>
    </row>
    <row r="161" spans="1:10" x14ac:dyDescent="0.35">
      <c r="A161" s="7">
        <v>518</v>
      </c>
      <c r="H161" s="2">
        <v>1</v>
      </c>
      <c r="I161" s="2">
        <v>1</v>
      </c>
      <c r="J161" s="2" cm="1">
        <f t="array" ref="J161">_xlfn.IFS(H161=0,0,H161=1,1,H161=2,1,H161=3,2,H161=4,2)</f>
        <v>1</v>
      </c>
    </row>
    <row r="162" spans="1:10" x14ac:dyDescent="0.35">
      <c r="A162" s="7">
        <v>514</v>
      </c>
      <c r="H162" s="2">
        <v>4</v>
      </c>
      <c r="I162" s="2">
        <v>1</v>
      </c>
      <c r="J162" s="2" cm="1">
        <f t="array" ref="J162">_xlfn.IFS(H162=0,0,H162=1,1,H162=2,1,H162=3,2,H162=4,2)</f>
        <v>2</v>
      </c>
    </row>
    <row r="163" spans="1:10" x14ac:dyDescent="0.35">
      <c r="A163" s="7">
        <v>516</v>
      </c>
      <c r="H163" s="2">
        <v>0</v>
      </c>
      <c r="I163" s="2">
        <v>0</v>
      </c>
      <c r="J163" s="2" cm="1">
        <f t="array" ref="J163">_xlfn.IFS(H163=0,0,H163=1,1,H163=2,1,H163=3,2,H163=4,2)</f>
        <v>0</v>
      </c>
    </row>
    <row r="164" spans="1:10" x14ac:dyDescent="0.35">
      <c r="A164" s="7">
        <v>517</v>
      </c>
      <c r="H164" s="2">
        <v>2</v>
      </c>
      <c r="I164" s="2">
        <v>1</v>
      </c>
      <c r="J164" s="2" cm="1">
        <f t="array" ref="J164">_xlfn.IFS(H164=0,0,H164=1,1,H164=2,1,H164=3,2,H164=4,2)</f>
        <v>1</v>
      </c>
    </row>
    <row r="165" spans="1:10" x14ac:dyDescent="0.35">
      <c r="A165" s="7">
        <v>519</v>
      </c>
      <c r="H165" s="2">
        <v>1</v>
      </c>
      <c r="I165" s="2">
        <v>1</v>
      </c>
      <c r="J165" s="2" cm="1">
        <f t="array" ref="J165">_xlfn.IFS(H165=0,0,H165=1,1,H165=2,1,H165=3,2,H165=4,2)</f>
        <v>1</v>
      </c>
    </row>
    <row r="166" spans="1:10" x14ac:dyDescent="0.35">
      <c r="A166" s="7">
        <v>520</v>
      </c>
      <c r="H166" s="2">
        <v>0</v>
      </c>
      <c r="I166" s="2">
        <v>0</v>
      </c>
      <c r="J166" s="2" cm="1">
        <f t="array" ref="J166">_xlfn.IFS(H166=0,0,H166=1,1,H166=2,1,H166=3,2,H166=4,2)</f>
        <v>0</v>
      </c>
    </row>
    <row r="167" spans="1:10" x14ac:dyDescent="0.35">
      <c r="A167" s="7">
        <v>526</v>
      </c>
      <c r="H167" s="2">
        <v>0</v>
      </c>
      <c r="I167" s="2">
        <v>0</v>
      </c>
      <c r="J167" s="2" cm="1">
        <f t="array" ref="J167">_xlfn.IFS(H167=0,0,H167=1,1,H167=2,1,H167=3,2,H167=4,2)</f>
        <v>0</v>
      </c>
    </row>
    <row r="168" spans="1:10" x14ac:dyDescent="0.35">
      <c r="A168" s="7">
        <v>522</v>
      </c>
      <c r="H168" s="2">
        <v>0</v>
      </c>
      <c r="I168" s="2">
        <v>0</v>
      </c>
      <c r="J168" s="2" cm="1">
        <f t="array" ref="J168">_xlfn.IFS(H168=0,0,H168=1,1,H168=2,1,H168=3,2,H168=4,2)</f>
        <v>0</v>
      </c>
    </row>
    <row r="169" spans="1:10" x14ac:dyDescent="0.35">
      <c r="A169" s="7">
        <v>523</v>
      </c>
      <c r="H169" s="2">
        <v>3</v>
      </c>
      <c r="I169" s="2">
        <v>1</v>
      </c>
      <c r="J169" s="2" cm="1">
        <f t="array" ref="J169">_xlfn.IFS(H169=0,0,H169=1,1,H169=2,1,H169=3,2,H169=4,2)</f>
        <v>2</v>
      </c>
    </row>
    <row r="170" spans="1:10" x14ac:dyDescent="0.35">
      <c r="A170" s="7">
        <v>524</v>
      </c>
      <c r="H170" s="2">
        <v>1</v>
      </c>
      <c r="I170" s="2">
        <v>1</v>
      </c>
      <c r="J170" s="2" cm="1">
        <f t="array" ref="J170">_xlfn.IFS(H170=0,0,H170=1,1,H170=2,1,H170=3,2,H170=4,2)</f>
        <v>1</v>
      </c>
    </row>
    <row r="171" spans="1:10" x14ac:dyDescent="0.35">
      <c r="A171" s="7">
        <v>166</v>
      </c>
      <c r="H171" s="2">
        <v>1</v>
      </c>
      <c r="I171" s="2">
        <v>1</v>
      </c>
      <c r="J171" s="2" cm="1">
        <f t="array" ref="J171">_xlfn.IFS(H171=0,0,H171=1,1,H171=2,1,H171=3,2,H171=4,2)</f>
        <v>1</v>
      </c>
    </row>
    <row r="172" spans="1:10" x14ac:dyDescent="0.35">
      <c r="A172" s="7">
        <v>528</v>
      </c>
      <c r="H172" s="2">
        <v>0</v>
      </c>
      <c r="I172" s="2">
        <v>0</v>
      </c>
      <c r="J172" s="2" cm="1">
        <f t="array" ref="J172">_xlfn.IFS(H172=0,0,H172=1,1,H172=2,1,H172=3,2,H172=4,2)</f>
        <v>0</v>
      </c>
    </row>
    <row r="173" spans="1:10" x14ac:dyDescent="0.35">
      <c r="A173" s="7">
        <v>529</v>
      </c>
      <c r="H173" s="2">
        <v>0</v>
      </c>
      <c r="I173" s="2">
        <v>0</v>
      </c>
      <c r="J173" s="2" cm="1">
        <f t="array" ref="J173">_xlfn.IFS(H173=0,0,H173=1,1,H173=2,1,H173=3,2,H173=4,2)</f>
        <v>0</v>
      </c>
    </row>
    <row r="174" spans="1:10" x14ac:dyDescent="0.35">
      <c r="A174" s="7">
        <v>530</v>
      </c>
      <c r="H174" s="2">
        <v>4</v>
      </c>
      <c r="I174" s="2">
        <v>1</v>
      </c>
      <c r="J174" s="2" cm="1">
        <f t="array" ref="J174">_xlfn.IFS(H174=0,0,H174=1,1,H174=2,1,H174=3,2,H174=4,2)</f>
        <v>2</v>
      </c>
    </row>
    <row r="175" spans="1:10" x14ac:dyDescent="0.35">
      <c r="A175" s="7">
        <v>531</v>
      </c>
      <c r="H175" s="2">
        <v>3</v>
      </c>
      <c r="I175" s="2">
        <v>1</v>
      </c>
      <c r="J175" s="2" cm="1">
        <f t="array" ref="J175">_xlfn.IFS(H175=0,0,H175=1,1,H175=2,1,H175=3,2,H175=4,2)</f>
        <v>2</v>
      </c>
    </row>
    <row r="176" spans="1:10" x14ac:dyDescent="0.35">
      <c r="A176" s="7">
        <v>521</v>
      </c>
      <c r="H176" s="2">
        <v>1</v>
      </c>
      <c r="I176" s="2">
        <v>1</v>
      </c>
      <c r="J176" s="2" cm="1">
        <f t="array" ref="J176">_xlfn.IFS(H176=0,0,H176=1,1,H176=2,1,H176=3,2,H176=4,2)</f>
        <v>1</v>
      </c>
    </row>
    <row r="177" spans="1:10" x14ac:dyDescent="0.35">
      <c r="A177" s="7">
        <v>536</v>
      </c>
      <c r="H177" s="2">
        <v>0</v>
      </c>
      <c r="I177" s="2">
        <v>0</v>
      </c>
      <c r="J177" s="2" cm="1">
        <f t="array" ref="J177">_xlfn.IFS(H177=0,0,H177=1,1,H177=2,1,H177=3,2,H177=4,2)</f>
        <v>0</v>
      </c>
    </row>
    <row r="178" spans="1:10" x14ac:dyDescent="0.35">
      <c r="A178" s="7">
        <v>533</v>
      </c>
      <c r="H178" s="2">
        <v>4</v>
      </c>
      <c r="I178" s="2">
        <v>1</v>
      </c>
      <c r="J178" s="2" cm="1">
        <f t="array" ref="J178">_xlfn.IFS(H178=0,0,H178=1,1,H178=2,1,H178=3,2,H178=4,2)</f>
        <v>2</v>
      </c>
    </row>
    <row r="179" spans="1:10" x14ac:dyDescent="0.35">
      <c r="A179" s="7">
        <v>534</v>
      </c>
      <c r="H179" s="2">
        <v>0</v>
      </c>
      <c r="I179" s="2">
        <v>0</v>
      </c>
      <c r="J179" s="2" cm="1">
        <f t="array" ref="J179">_xlfn.IFS(H179=0,0,H179=1,1,H179=2,1,H179=3,2,H179=4,2)</f>
        <v>0</v>
      </c>
    </row>
    <row r="180" spans="1:10" x14ac:dyDescent="0.35">
      <c r="A180" s="7">
        <v>537</v>
      </c>
      <c r="H180" s="2">
        <v>1</v>
      </c>
      <c r="I180" s="2">
        <v>1</v>
      </c>
      <c r="J180" s="2" cm="1">
        <f t="array" ref="J180">_xlfn.IFS(H180=0,0,H180=1,1,H180=2,1,H180=3,2,H180=4,2)</f>
        <v>1</v>
      </c>
    </row>
    <row r="181" spans="1:10" x14ac:dyDescent="0.35">
      <c r="A181" s="7">
        <v>538</v>
      </c>
      <c r="H181" s="2">
        <v>2</v>
      </c>
      <c r="I181" s="2">
        <v>1</v>
      </c>
      <c r="J181" s="2" cm="1">
        <f t="array" ref="J181">_xlfn.IFS(H181=0,0,H181=1,1,H181=2,1,H181=3,2,H181=4,2)</f>
        <v>1</v>
      </c>
    </row>
    <row r="182" spans="1:10" x14ac:dyDescent="0.35">
      <c r="A182" s="7">
        <v>539</v>
      </c>
      <c r="H182" s="2">
        <v>0</v>
      </c>
      <c r="I182" s="2">
        <v>0</v>
      </c>
      <c r="J182" s="2" cm="1">
        <f t="array" ref="J182">_xlfn.IFS(H182=0,0,H182=1,1,H182=2,1,H182=3,2,H182=4,2)</f>
        <v>0</v>
      </c>
    </row>
    <row r="183" spans="1:10" x14ac:dyDescent="0.35">
      <c r="A183" s="7">
        <v>540</v>
      </c>
      <c r="H183" s="2">
        <v>4</v>
      </c>
      <c r="I183" s="2">
        <v>1</v>
      </c>
      <c r="J183" s="2" cm="1">
        <f t="array" ref="J183">_xlfn.IFS(H183=0,0,H183=1,1,H183=2,1,H183=3,2,H183=4,2)</f>
        <v>2</v>
      </c>
    </row>
    <row r="184" spans="1:10" x14ac:dyDescent="0.35">
      <c r="A184" s="7">
        <v>544</v>
      </c>
      <c r="H184" s="2">
        <v>4</v>
      </c>
      <c r="I184" s="2">
        <v>1</v>
      </c>
      <c r="J184" s="2" cm="1">
        <f t="array" ref="J184">_xlfn.IFS(H184=0,0,H184=1,1,H184=2,1,H184=3,2,H184=4,2)</f>
        <v>2</v>
      </c>
    </row>
    <row r="185" spans="1:10" x14ac:dyDescent="0.35">
      <c r="A185" s="7">
        <v>545</v>
      </c>
      <c r="H185" s="2">
        <v>1</v>
      </c>
      <c r="I185" s="2">
        <v>1</v>
      </c>
      <c r="J185" s="2" cm="1">
        <f t="array" ref="J185">_xlfn.IFS(H185=0,0,H185=1,1,H185=2,1,H185=3,2,H185=4,2)</f>
        <v>1</v>
      </c>
    </row>
    <row r="186" spans="1:10" x14ac:dyDescent="0.35">
      <c r="A186" s="7">
        <v>546</v>
      </c>
      <c r="H186" s="2">
        <v>1</v>
      </c>
      <c r="I186" s="2">
        <v>1</v>
      </c>
      <c r="J186" s="2" cm="1">
        <f t="array" ref="J186">_xlfn.IFS(H186=0,0,H186=1,1,H186=2,1,H186=3,2,H186=4,2)</f>
        <v>1</v>
      </c>
    </row>
    <row r="187" spans="1:10" x14ac:dyDescent="0.35">
      <c r="A187" s="7">
        <v>550</v>
      </c>
      <c r="H187" s="2">
        <v>0</v>
      </c>
      <c r="I187" s="2">
        <v>0</v>
      </c>
      <c r="J187" s="2" cm="1">
        <f t="array" ref="J187">_xlfn.IFS(H187=0,0,H187=1,1,H187=2,1,H187=3,2,H187=4,2)</f>
        <v>0</v>
      </c>
    </row>
    <row r="188" spans="1:10" x14ac:dyDescent="0.35">
      <c r="A188" s="7">
        <v>551</v>
      </c>
      <c r="H188" s="2">
        <v>0</v>
      </c>
      <c r="I188" s="2">
        <v>0</v>
      </c>
      <c r="J188" s="2" cm="1">
        <f t="array" ref="J188">_xlfn.IFS(H188=0,0,H188=1,1,H188=2,1,H188=3,2,H188=4,2)</f>
        <v>0</v>
      </c>
    </row>
    <row r="189" spans="1:10" x14ac:dyDescent="0.35">
      <c r="A189" s="7">
        <v>548</v>
      </c>
      <c r="H189" s="2">
        <v>2</v>
      </c>
      <c r="I189" s="2">
        <v>1</v>
      </c>
      <c r="J189" s="2" cm="1">
        <f t="array" ref="J189">_xlfn.IFS(H189=0,0,H189=1,1,H189=2,1,H189=3,2,H189=4,2)</f>
        <v>1</v>
      </c>
    </row>
    <row r="190" spans="1:10" x14ac:dyDescent="0.35">
      <c r="A190" s="7">
        <v>549</v>
      </c>
      <c r="H190" s="2">
        <v>4</v>
      </c>
      <c r="I190" s="2">
        <v>1</v>
      </c>
      <c r="J190" s="2" cm="1">
        <f t="array" ref="J190">_xlfn.IFS(H190=0,0,H190=1,1,H190=2,1,H190=3,2,H190=4,2)</f>
        <v>2</v>
      </c>
    </row>
    <row r="191" spans="1:10" x14ac:dyDescent="0.35">
      <c r="A191" s="7">
        <v>553</v>
      </c>
      <c r="H191" s="2">
        <v>4</v>
      </c>
      <c r="I191" s="2">
        <v>1</v>
      </c>
      <c r="J191" s="2" cm="1">
        <f t="array" ref="J191">_xlfn.IFS(H191=0,0,H191=1,1,H191=2,1,H191=3,2,H191=4,2)</f>
        <v>2</v>
      </c>
    </row>
    <row r="192" spans="1:10" x14ac:dyDescent="0.35">
      <c r="A192" s="7">
        <v>552</v>
      </c>
      <c r="H192" s="2">
        <v>4</v>
      </c>
      <c r="I192" s="2">
        <v>1</v>
      </c>
      <c r="J192" s="2" cm="1">
        <f t="array" ref="J192">_xlfn.IFS(H192=0,0,H192=1,1,H192=2,1,H192=3,2,H192=4,2)</f>
        <v>2</v>
      </c>
    </row>
    <row r="193" spans="1:10" x14ac:dyDescent="0.35">
      <c r="A193" s="7">
        <v>555</v>
      </c>
      <c r="H193" s="2">
        <v>2</v>
      </c>
      <c r="I193" s="2">
        <v>1</v>
      </c>
      <c r="J193" s="2" cm="1">
        <f t="array" ref="J193">_xlfn.IFS(H193=0,0,H193=1,1,H193=2,1,H193=3,2,H193=4,2)</f>
        <v>1</v>
      </c>
    </row>
    <row r="194" spans="1:10" x14ac:dyDescent="0.35">
      <c r="A194" s="7">
        <v>554</v>
      </c>
      <c r="H194" s="2">
        <v>2</v>
      </c>
      <c r="I194" s="2">
        <v>1</v>
      </c>
      <c r="J194" s="2" cm="1">
        <f t="array" ref="J194">_xlfn.IFS(H194=0,0,H194=1,1,H194=2,1,H194=3,2,H194=4,2)</f>
        <v>1</v>
      </c>
    </row>
    <row r="195" spans="1:10" x14ac:dyDescent="0.35">
      <c r="A195" s="7">
        <v>560</v>
      </c>
      <c r="H195" s="2">
        <v>0</v>
      </c>
      <c r="I195" s="2">
        <v>0</v>
      </c>
      <c r="J195" s="2" cm="1">
        <f t="array" ref="J195">_xlfn.IFS(H195=0,0,H195=1,1,H195=2,1,H195=3,2,H195=4,2)</f>
        <v>0</v>
      </c>
    </row>
    <row r="196" spans="1:10" x14ac:dyDescent="0.35">
      <c r="A196" s="7">
        <v>439</v>
      </c>
      <c r="H196" s="2">
        <v>3</v>
      </c>
      <c r="I196" s="2">
        <v>1</v>
      </c>
      <c r="J196" s="2" cm="1">
        <f t="array" ref="J196">_xlfn.IFS(H196=0,0,H196=1,1,H196=2,1,H196=3,2,H196=4,2)</f>
        <v>2</v>
      </c>
    </row>
    <row r="197" spans="1:10" x14ac:dyDescent="0.35">
      <c r="A197" s="7">
        <v>563</v>
      </c>
      <c r="H197" s="2">
        <v>1</v>
      </c>
      <c r="I197" s="2">
        <v>1</v>
      </c>
      <c r="J197" s="2" cm="1">
        <f t="array" ref="J197">_xlfn.IFS(H197=0,0,H197=1,1,H197=2,1,H197=3,2,H197=4,2)</f>
        <v>1</v>
      </c>
    </row>
    <row r="198" spans="1:10" x14ac:dyDescent="0.35">
      <c r="A198" s="7">
        <v>564</v>
      </c>
      <c r="H198" s="2">
        <v>1</v>
      </c>
      <c r="I198" s="2">
        <v>1</v>
      </c>
      <c r="J198" s="2" cm="1">
        <f t="array" ref="J198">_xlfn.IFS(H198=0,0,H198=1,1,H198=2,1,H198=3,2,H198=4,2)</f>
        <v>1</v>
      </c>
    </row>
    <row r="199" spans="1:10" x14ac:dyDescent="0.35">
      <c r="A199" s="7">
        <v>568</v>
      </c>
      <c r="H199" s="2">
        <v>4</v>
      </c>
      <c r="I199" s="2">
        <v>1</v>
      </c>
      <c r="J199" s="2" cm="1">
        <f t="array" ref="J199">_xlfn.IFS(H199=0,0,H199=1,1,H199=2,1,H199=3,2,H199=4,2)</f>
        <v>2</v>
      </c>
    </row>
    <row r="200" spans="1:10" x14ac:dyDescent="0.35">
      <c r="A200" s="7">
        <v>566</v>
      </c>
      <c r="H200" s="2">
        <v>4</v>
      </c>
      <c r="I200" s="2">
        <v>1</v>
      </c>
      <c r="J200" s="2" cm="1">
        <f t="array" ref="J200">_xlfn.IFS(H200=0,0,H200=1,1,H200=2,1,H200=3,2,H200=4,2)</f>
        <v>2</v>
      </c>
    </row>
    <row r="201" spans="1:10" x14ac:dyDescent="0.35">
      <c r="A201" s="7">
        <v>567</v>
      </c>
      <c r="H201" s="2">
        <v>3</v>
      </c>
      <c r="I201" s="2">
        <v>1</v>
      </c>
      <c r="J201" s="2" cm="1">
        <f t="array" ref="J201">_xlfn.IFS(H201=0,0,H201=1,1,H201=2,1,H201=3,2,H201=4,2)</f>
        <v>2</v>
      </c>
    </row>
    <row r="202" spans="1:10" x14ac:dyDescent="0.35">
      <c r="A202" s="7">
        <v>570</v>
      </c>
      <c r="H202" s="2">
        <v>0</v>
      </c>
      <c r="I202" s="2">
        <v>0</v>
      </c>
      <c r="J202" s="2" cm="1">
        <f t="array" ref="J202">_xlfn.IFS(H202=0,0,H202=1,1,H202=2,1,H202=3,2,H202=4,2)</f>
        <v>0</v>
      </c>
    </row>
    <row r="203" spans="1:10" x14ac:dyDescent="0.35">
      <c r="A203" s="7">
        <v>569</v>
      </c>
      <c r="H203" s="2">
        <v>4</v>
      </c>
      <c r="I203" s="2">
        <v>1</v>
      </c>
      <c r="J203" s="2" cm="1">
        <f t="array" ref="J203">_xlfn.IFS(H203=0,0,H203=1,1,H203=2,1,H203=3,2,H203=4,2)</f>
        <v>2</v>
      </c>
    </row>
    <row r="204" spans="1:10" x14ac:dyDescent="0.35">
      <c r="A204" s="7">
        <v>572</v>
      </c>
      <c r="H204" s="2">
        <v>0</v>
      </c>
      <c r="I204" s="2">
        <v>0</v>
      </c>
      <c r="J204" s="2" cm="1">
        <f t="array" ref="J204">_xlfn.IFS(H204=0,0,H204=1,1,H204=2,1,H204=3,2,H204=4,2)</f>
        <v>0</v>
      </c>
    </row>
    <row r="205" spans="1:10" x14ac:dyDescent="0.35">
      <c r="A205" s="7">
        <v>573</v>
      </c>
      <c r="H205" s="2">
        <v>0</v>
      </c>
      <c r="I205" s="2">
        <v>0</v>
      </c>
      <c r="J205" s="2" cm="1">
        <f t="array" ref="J205">_xlfn.IFS(H205=0,0,H205=1,1,H205=2,1,H205=3,2,H205=4,2)</f>
        <v>0</v>
      </c>
    </row>
    <row r="206" spans="1:10" x14ac:dyDescent="0.35">
      <c r="A206" s="7">
        <v>565</v>
      </c>
      <c r="H206" s="2">
        <v>3</v>
      </c>
      <c r="I206" s="2">
        <v>1</v>
      </c>
      <c r="J206" s="2" cm="1">
        <f t="array" ref="J206">_xlfn.IFS(H206=0,0,H206=1,1,H206=2,1,H206=3,2,H206=4,2)</f>
        <v>2</v>
      </c>
    </row>
    <row r="207" spans="1:10" x14ac:dyDescent="0.35">
      <c r="A207" s="7">
        <v>576</v>
      </c>
      <c r="H207" s="2">
        <v>4</v>
      </c>
      <c r="I207" s="2">
        <v>1</v>
      </c>
      <c r="J207" s="2" cm="1">
        <f t="array" ref="J207">_xlfn.IFS(H207=0,0,H207=1,1,H207=2,1,H207=3,2,H207=4,2)</f>
        <v>2</v>
      </c>
    </row>
    <row r="208" spans="1:10" x14ac:dyDescent="0.35">
      <c r="A208" s="7">
        <v>578</v>
      </c>
      <c r="H208" s="2">
        <v>4</v>
      </c>
      <c r="I208" s="2">
        <v>1</v>
      </c>
      <c r="J208" s="2" cm="1">
        <f t="array" ref="J208">_xlfn.IFS(H208=0,0,H208=1,1,H208=2,1,H208=3,2,H208=4,2)</f>
        <v>2</v>
      </c>
    </row>
    <row r="209" spans="1:10" x14ac:dyDescent="0.35">
      <c r="A209" s="7">
        <v>579</v>
      </c>
      <c r="H209" s="2">
        <v>3</v>
      </c>
      <c r="I209" s="2">
        <v>1</v>
      </c>
      <c r="J209" s="2" cm="1">
        <f t="array" ref="J209">_xlfn.IFS(H209=0,0,H209=1,1,H209=2,1,H209=3,2,H209=4,2)</f>
        <v>2</v>
      </c>
    </row>
    <row r="210" spans="1:10" x14ac:dyDescent="0.35">
      <c r="A210" s="7">
        <v>575</v>
      </c>
      <c r="H210" s="2">
        <v>4</v>
      </c>
      <c r="I210" s="2">
        <v>1</v>
      </c>
      <c r="J210" s="2" cm="1">
        <f t="array" ref="J210">_xlfn.IFS(H210=0,0,H210=1,1,H210=2,1,H210=3,2,H210=4,2)</f>
        <v>2</v>
      </c>
    </row>
    <row r="211" spans="1:10" x14ac:dyDescent="0.35">
      <c r="A211" s="7">
        <v>577</v>
      </c>
      <c r="H211" s="2">
        <v>4</v>
      </c>
      <c r="I211" s="2">
        <v>1</v>
      </c>
      <c r="J211" s="2" cm="1">
        <f t="array" ref="J211">_xlfn.IFS(H211=0,0,H211=1,1,H211=2,1,H211=3,2,H211=4,2)</f>
        <v>2</v>
      </c>
    </row>
    <row r="212" spans="1:10" x14ac:dyDescent="0.35">
      <c r="A212" s="7">
        <v>580</v>
      </c>
      <c r="H212" s="2">
        <v>4</v>
      </c>
      <c r="I212" s="2">
        <v>1</v>
      </c>
      <c r="J212" s="2" cm="1">
        <f t="array" ref="J212">_xlfn.IFS(H212=0,0,H212=1,1,H212=2,1,H212=3,2,H212=4,2)</f>
        <v>2</v>
      </c>
    </row>
    <row r="213" spans="1:10" x14ac:dyDescent="0.35">
      <c r="A213" s="7">
        <v>581</v>
      </c>
      <c r="H213" s="2">
        <v>0</v>
      </c>
      <c r="I213" s="2">
        <v>0</v>
      </c>
      <c r="J213" s="2" cm="1">
        <f t="array" ref="J213">_xlfn.IFS(H213=0,0,H213=1,1,H213=2,1,H213=3,2,H213=4,2)</f>
        <v>0</v>
      </c>
    </row>
    <row r="214" spans="1:10" x14ac:dyDescent="0.35">
      <c r="A214" s="7">
        <v>583</v>
      </c>
      <c r="H214" s="2">
        <v>4</v>
      </c>
      <c r="I214" s="2">
        <v>1</v>
      </c>
      <c r="J214" s="2" cm="1">
        <f t="array" ref="J214">_xlfn.IFS(H214=0,0,H214=1,1,H214=2,1,H214=3,2,H214=4,2)</f>
        <v>2</v>
      </c>
    </row>
    <row r="215" spans="1:10" x14ac:dyDescent="0.35">
      <c r="A215" s="7">
        <v>585</v>
      </c>
      <c r="H215" s="2">
        <v>3</v>
      </c>
      <c r="I215" s="2">
        <v>1</v>
      </c>
      <c r="J215" s="2" cm="1">
        <f t="array" ref="J215">_xlfn.IFS(H215=0,0,H215=1,1,H215=2,1,H215=3,2,H215=4,2)</f>
        <v>2</v>
      </c>
    </row>
    <row r="216" spans="1:10" x14ac:dyDescent="0.35">
      <c r="A216" s="7">
        <v>590</v>
      </c>
      <c r="H216" s="2">
        <v>0</v>
      </c>
      <c r="I216" s="2">
        <v>0</v>
      </c>
      <c r="J216" s="2" cm="1">
        <f t="array" ref="J216">_xlfn.IFS(H216=0,0,H216=1,1,H216=2,1,H216=3,2,H216=4,2)</f>
        <v>0</v>
      </c>
    </row>
    <row r="217" spans="1:10" x14ac:dyDescent="0.35">
      <c r="A217" s="7">
        <v>591</v>
      </c>
      <c r="H217" s="2">
        <v>0</v>
      </c>
      <c r="I217" s="2">
        <v>0</v>
      </c>
      <c r="J217" s="2" cm="1">
        <f t="array" ref="J217">_xlfn.IFS(H217=0,0,H217=1,1,H217=2,1,H217=3,2,H217=4,2)</f>
        <v>0</v>
      </c>
    </row>
    <row r="218" spans="1:10" x14ac:dyDescent="0.35">
      <c r="A218" s="7">
        <v>586</v>
      </c>
      <c r="H218" s="2">
        <v>4</v>
      </c>
      <c r="I218" s="2">
        <v>1</v>
      </c>
      <c r="J218" s="2" cm="1">
        <f t="array" ref="J218">_xlfn.IFS(H218=0,0,H218=1,1,H218=2,1,H218=3,2,H218=4,2)</f>
        <v>2</v>
      </c>
    </row>
    <row r="219" spans="1:10" x14ac:dyDescent="0.35">
      <c r="A219" s="7">
        <v>589</v>
      </c>
      <c r="H219" s="2">
        <v>0</v>
      </c>
      <c r="I219" s="2">
        <v>0</v>
      </c>
      <c r="J219" s="2" cm="1">
        <f t="array" ref="J219">_xlfn.IFS(H219=0,0,H219=1,1,H219=2,1,H219=3,2,H219=4,2)</f>
        <v>0</v>
      </c>
    </row>
  </sheetData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Victor</cp:lastModifiedBy>
  <cp:revision>2</cp:revision>
  <dcterms:created xsi:type="dcterms:W3CDTF">2022-04-27T20:03:43Z</dcterms:created>
  <dcterms:modified xsi:type="dcterms:W3CDTF">2023-07-27T02:46:26Z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